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 DAN" sheetId="1" state="visible" r:id="rId3"/>
    <sheet name="CONG SUAT" sheetId="2" state="visible" r:id="rId4"/>
    <sheet name="DANH MUC ITEM" sheetId="3" state="visible" r:id="rId5"/>
    <sheet name="BOM T1" sheetId="4" state="visible" r:id="rId6"/>
    <sheet name="BOM T2 BANH" sheetId="5" state="visible" r:id="rId7"/>
    <sheet name="BOM T2 BOT" sheetId="6" state="visible" r:id="rId8"/>
    <sheet name="BOM T3 SKU" sheetId="7" state="visible" r:id="rId9"/>
    <sheet name="CAU H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<sst xmlns="http://schemas.openxmlformats.org/spreadsheetml/2006/main" count="962" uniqueCount="393">
  <si>
    <t xml:space="preserve">ĐỊNH MỨC SẢN XUẤT RVHG — DỮ LIỆU NGUỒN CHO BOM (app sx)</t>
  </si>
  <si>
    <t xml:space="preserve">Nguồn: số liệu do Nguyễn Huy Chiến cung cấp ngày 23/07/2026. Chưa đối chiếu TCCS.</t>
  </si>
  <si>
    <t xml:space="preserve">MỤC ĐÍCH</t>
  </si>
  <si>
    <t xml:space="preserve">File này là NGUỒN SỰ THẬT về định mức. Từ đây nhập vào ERPNext thành BOM 3 tầng. BOM là DỮ LIỆU (không phải code) → sau này đổi công thức chỉ sửa BOM, không đụng app sx.</t>
  </si>
  <si>
    <t xml:space="preserve">QUY ƯỚC MÀU</t>
  </si>
  <si>
    <t xml:space="preserve">   Chữ xanh dương</t>
  </si>
  <si>
    <t xml:space="preserve">Số cứng do Chiến cung cấp — sửa trực tiếp khi công thức thay đổi.</t>
  </si>
  <si>
    <t xml:space="preserve">   Chữ đen</t>
  </si>
  <si>
    <t xml:space="preserve">Ô công thức — tự tính, ĐỪNG gõ đè.</t>
  </si>
  <si>
    <t xml:space="preserve">   Nền vàng</t>
  </si>
  <si>
    <t xml:space="preserve">Ô CẦN ĐIỀN / CẦN XÁC NHẬN — xem sheet CAU HOI.</t>
  </si>
  <si>
    <t xml:space="preserve">   Nền đỏ</t>
  </si>
  <si>
    <t xml:space="preserve">Dữ liệu có mâu thuẫn, cần Chiến xác nhận trước khi nhập ERPNext.</t>
  </si>
  <si>
    <t xml:space="preserve">CÁC SHEET</t>
  </si>
  <si>
    <t xml:space="preserve">   CONG SUAT</t>
  </si>
  <si>
    <t xml:space="preserve">Công suất từng công đoạn + phân tích nút thắt (Theory of Constraints).</t>
  </si>
  <si>
    <t xml:space="preserve">   DANH MUC ITEM</t>
  </si>
  <si>
    <t xml:space="preserve">Toàn bộ Item phải khai trong ERPNext, kèm nhóm / ĐVT / có batch hay không.</t>
  </si>
  <si>
    <t xml:space="preserve">   BOM T1</t>
  </si>
  <si>
    <t xml:space="preserve">Tầng 1 — BTP gốc: bột đậu nền, đường hoán (3 loại), hỗn hợp màu (2 loại).</t>
  </si>
  <si>
    <t xml:space="preserve">   BOM T2 BANH</t>
  </si>
  <si>
    <t xml:space="preserve">Tầng 2 nhánh bánh — 8 loại bột bánh. Mỗi mẻ ~114kg.</t>
  </si>
  <si>
    <t xml:space="preserve">   BOM T2 BOT</t>
  </si>
  <si>
    <t xml:space="preserve">Tầng 2 nhánh bột — 8 công thức bột đậu. Mỗi mẻ 40kg.</t>
  </si>
  <si>
    <t xml:space="preserve">   BOM T3 SKU</t>
  </si>
  <si>
    <t xml:space="preserve">Tầng 3 — quy cách đóng gói 40–50 SKU. HIỆN CHƯA CÓ SỐ LIỆU, template để điền.</t>
  </si>
  <si>
    <t xml:space="preserve">   CAU HOI</t>
  </si>
  <si>
    <t xml:space="preserve">13 điểm cần Chiến trả lời/xác nhận trước khi nhập ERPNext.</t>
  </si>
  <si>
    <t xml:space="preserve">CẤU TRÚC BOM</t>
  </si>
  <si>
    <t xml:space="preserve">T1: Đậu → Bột đậu nền · Đường → Đường hoán</t>
  </si>
  <si>
    <t xml:space="preserve">T2 bánh: Bột đậu + Đường hoán + Gluco + Dầu + hương/phụ liệu → Bột bánh (8 loại)</t>
  </si>
  <si>
    <t xml:space="preserve">T2 bột:  Bột đậu + đường + phụ liệu → Bột đậu các loại (8 loại)</t>
  </si>
  <si>
    <t xml:space="preserve">T3: Bột bánh → TP bánh (SKU hộp) · Bột đậu các loại → TP bột (SKU túi/hộp)</t>
  </si>
  <si>
    <t xml:space="preserve">Đỗ vỡ, đỗ rang, bánh rời = WIP vô hình, KHÔNG khai item (đã chốt).</t>
  </si>
  <si>
    <t xml:space="preserve">QUY TẮC NHẬP ERPNEXT</t>
  </si>
  <si>
    <t xml:space="preserve">Nhập theo thứ tự T1 → T2 → T3. BOM tầng dưới phải Active TRƯỚC thì tầng trên mới trỏ vào được.</t>
  </si>
  <si>
    <t xml:space="preserve">Mỗi BOM: Quantity = sản lượng đầu ra ghi ở cột 'SL ra'. Không khai Operations (đã chốt D2).</t>
  </si>
  <si>
    <t xml:space="preserve">Dòng nguyên liệu nhóm trộn → tick custom_nl_tron = 1. Bao bì để trống.</t>
  </si>
  <si>
    <t xml:space="preserve">CÔNG SUẤT THIẾT BỊ THEO CÔNG ĐOẠN</t>
  </si>
  <si>
    <t xml:space="preserve">Nguồn: Chiến cung cấp 23/07/2026. Dùng để tính nút thắt và ước lượng năng lực ngày.</t>
  </si>
  <si>
    <t xml:space="preserve">Công đoạn</t>
  </si>
  <si>
    <t xml:space="preserve">Thiết bị</t>
  </si>
  <si>
    <t xml:space="preserve">Số máy</t>
  </si>
  <si>
    <t xml:space="preserve">CS mỗi máy</t>
  </si>
  <si>
    <t xml:space="preserve">ĐVT</t>
  </si>
  <si>
    <t xml:space="preserve">CS tổng/giờ</t>
  </si>
  <si>
    <t xml:space="preserve">CS tổng/ca 8h</t>
  </si>
  <si>
    <t xml:space="preserve">Ghi chú</t>
  </si>
  <si>
    <t xml:space="preserve">Luộc</t>
  </si>
  <si>
    <t xml:space="preserve">Nồi luộc</t>
  </si>
  <si>
    <t xml:space="preserve">kg/h</t>
  </si>
  <si>
    <t xml:space="preserve">Đậu nguyên liệu</t>
  </si>
  <si>
    <t xml:space="preserve">Rang</t>
  </si>
  <si>
    <t xml:space="preserve">Máy rang</t>
  </si>
  <si>
    <t xml:space="preserve">✔ CH-07: 120 kg/h MỖI MÁY → tổng 360 kg/h</t>
  </si>
  <si>
    <t xml:space="preserve">Vỡ</t>
  </si>
  <si>
    <t xml:space="preserve">Máy vỡ</t>
  </si>
  <si>
    <t xml:space="preserve">2 tấn / 7h → tự tính</t>
  </si>
  <si>
    <t xml:space="preserve">Nghiền</t>
  </si>
  <si>
    <t xml:space="preserve">Máy nghiền</t>
  </si>
  <si>
    <t xml:space="preserve">3 tấn / 10h mỗi máy → tự tính</t>
  </si>
  <si>
    <t xml:space="preserve">Nấu đường</t>
  </si>
  <si>
    <t xml:space="preserve">Nồi nấu</t>
  </si>
  <si>
    <t xml:space="preserve">1 mẻ 50kg / 1 giờ</t>
  </si>
  <si>
    <t xml:space="preserve">Trộn bánh</t>
  </si>
  <si>
    <t xml:space="preserve">Máy trộn</t>
  </si>
  <si>
    <t xml:space="preserve">mẻ/h</t>
  </si>
  <si>
    <t xml:space="preserve">25 mẻ / 8h → tự tính. 1 mẻ ~114kg ⇒ ≈356 kg/h</t>
  </si>
  <si>
    <t xml:space="preserve">Cán</t>
  </si>
  <si>
    <t xml:space="preserve">Máy cán</t>
  </si>
  <si>
    <t xml:space="preserve">thùng/h</t>
  </si>
  <si>
    <t xml:space="preserve">1 thùng (2 mẻ = 228kg) / 30 phút ⇒ ≈456 kg/h</t>
  </si>
  <si>
    <t xml:space="preserve">PHÂN TÍCH NÚT THẮT (dây chuyền đậu)</t>
  </si>
  <si>
    <t xml:space="preserve">Trạng thái vật liệu</t>
  </si>
  <si>
    <t xml:space="preserve">Đậu sống vào nồi</t>
  </si>
  <si>
    <t xml:space="preserve">Đậu đã luộc</t>
  </si>
  <si>
    <t xml:space="preserve">Đậu đã rang (khối lượng đã giảm)</t>
  </si>
  <si>
    <t xml:space="preserve">Đỗ đã vỡ</t>
  </si>
  <si>
    <t xml:space="preserve">KẾT LUẬN: LUỘC là nút thắt dây chuyền đậu — 240 kg/h, thấp nhất chuỗi (rang 360 · vỡ 286 · nghiền 600). Trần năng lực ≈ 1.92 tấn đậu/ca 8h. Muốn tăng sản lượng bột thì đầu tư nồi luộc thứ 2 trước, không phải máy rang.</t>
  </si>
  <si>
    <t xml:space="preserve">LƯU Ý: các công đoạn xử lý vật liệu ở trạng thái khác nhau (đậu sống / đã rang / đã vỡ), khối lượng giảm dần theo chuỗi. So sánh kg/h trực tiếp chỉ mang tính tham khảo — muốn xác định nút thắt chính xác cần biết % hao khối lượng ở từng chặng (hiện chỉ biết hao TỔNG: 1kg đậu → 780g bột).</t>
  </si>
  <si>
    <t xml:space="preserve">DANH MỤC ITEM — ĐỐI CHIẾU VỚI ERPNEXT HIỆN CÓ</t>
  </si>
  <si>
    <t xml:space="preserve">Cột A = tên item trên ERPNext (quy ước RVHG: ID = tên tiếng Việt có dấu). Cột G: ✔ = đã có (ảnh chụp 23/07/2026, nhóm Nguyên liệu) · ✘ = phải tạo thêm.</t>
  </si>
  <si>
    <t xml:space="preserve">Item Code / Name (ERPNext)</t>
  </si>
  <si>
    <t xml:space="preserve">Tên trong công thức</t>
  </si>
  <si>
    <t xml:space="preserve">custom_sx_nhom</t>
  </si>
  <si>
    <t xml:space="preserve">Batch?</t>
  </si>
  <si>
    <t xml:space="preserve">batch_prefix</t>
  </si>
  <si>
    <t xml:space="preserve">Đã có?</t>
  </si>
  <si>
    <t xml:space="preserve">Đỗ xanh</t>
  </si>
  <si>
    <t xml:space="preserve">Đậu xanh</t>
  </si>
  <si>
    <t xml:space="preserve">NVL</t>
  </si>
  <si>
    <t xml:space="preserve">Kg</t>
  </si>
  <si>
    <t xml:space="preserve">Có</t>
  </si>
  <si>
    <t xml:space="preserve">✔</t>
  </si>
  <si>
    <t xml:space="preserve">Đỗ đen</t>
  </si>
  <si>
    <t xml:space="preserve">Đậu đen</t>
  </si>
  <si>
    <t xml:space="preserve">Tự rang/nghiền (CH-09)</t>
  </si>
  <si>
    <t xml:space="preserve">Đường nghệ an</t>
  </si>
  <si>
    <t xml:space="preserve">Đường kính Việt Nam</t>
  </si>
  <si>
    <t xml:space="preserve">✔ CH-14: đúng là item này.</t>
  </si>
  <si>
    <t xml:space="preserve">Đường Gluco Pháp</t>
  </si>
  <si>
    <t xml:space="preserve">Đường gluco Pháp</t>
  </si>
  <si>
    <t xml:space="preserve">Bánh: thượng hạng, trà xanh, sầu riêng</t>
  </si>
  <si>
    <t xml:space="preserve">Đường Gluco China</t>
  </si>
  <si>
    <t xml:space="preserve">Đường gluco China / Đường Trung Quốc</t>
  </si>
  <si>
    <t xml:space="preserve">✔ CH-15: 'đường trung quốc' trong công thức BỘT = chính item này. Dùng ở CẢ 2 nhánh.</t>
  </si>
  <si>
    <t xml:space="preserve">Dầu ăn Cái Lân</t>
  </si>
  <si>
    <t xml:space="preserve">Dầu</t>
  </si>
  <si>
    <t xml:space="preserve">25kg/mẻ bánh</t>
  </si>
  <si>
    <t xml:space="preserve">Vani</t>
  </si>
  <si>
    <t xml:space="preserve">Bột trà xanh matcha Nhật GTP RS20</t>
  </si>
  <si>
    <t xml:space="preserve">Matcha Nhật</t>
  </si>
  <si>
    <t xml:space="preserve">Bột matcha Đài Loan</t>
  </si>
  <si>
    <t xml:space="preserve">Matcha Đài Loan</t>
  </si>
  <si>
    <t xml:space="preserve">Bột sầu riêng</t>
  </si>
  <si>
    <t xml:space="preserve">Hương sầu riêng</t>
  </si>
  <si>
    <t xml:space="preserve">ĐVT Kg. Quy đổi 1 lít = 1 kg (CH-16)</t>
  </si>
  <si>
    <t xml:space="preserve">Bột sữa Newzealand</t>
  </si>
  <si>
    <t xml:space="preserve">Sữa bột</t>
  </si>
  <si>
    <t xml:space="preserve">Dừa khô</t>
  </si>
  <si>
    <t xml:space="preserve">Chè đậu đen</t>
  </si>
  <si>
    <t xml:space="preserve">Lạc</t>
  </si>
  <si>
    <t xml:space="preserve">Hương dừa</t>
  </si>
  <si>
    <t xml:space="preserve">✘</t>
  </si>
  <si>
    <t xml:space="preserve">PHẢI TẠO. ĐVT Kg — 90ml = 0.09kg/mẻ (CH-16)</t>
  </si>
  <si>
    <t xml:space="preserve">Hương khoai môn</t>
  </si>
  <si>
    <t xml:space="preserve">Hương cốm</t>
  </si>
  <si>
    <t xml:space="preserve">Hương sen</t>
  </si>
  <si>
    <t xml:space="preserve">PHẢI TẠO. ĐVT Kg — 70ml = 0.07kg/mẻ (CH-16)</t>
  </si>
  <si>
    <t xml:space="preserve">Màu thực phẩm đỏ</t>
  </si>
  <si>
    <t xml:space="preserve">Màu đỏ</t>
  </si>
  <si>
    <t xml:space="preserve">PHẢI TẠO — hỗn hợp màu khoai môn</t>
  </si>
  <si>
    <t xml:space="preserve">Màu thực phẩm xanh</t>
  </si>
  <si>
    <t xml:space="preserve">Màu xanh</t>
  </si>
  <si>
    <t xml:space="preserve">PHẢI TẠO — cả 2 hỗn hợp màu</t>
  </si>
  <si>
    <t xml:space="preserve">Màu thực phẩm vàng</t>
  </si>
  <si>
    <t xml:space="preserve">Màu vàng</t>
  </si>
  <si>
    <t xml:space="preserve">PHẢI TẠO — hỗn hợp màu cốm</t>
  </si>
  <si>
    <t xml:space="preserve">Bột sữa dừa</t>
  </si>
  <si>
    <t xml:space="preserve">Sữa dừa / Bột sữa dừa</t>
  </si>
  <si>
    <t xml:space="preserve">PHẢI TẠO — 1 item duy nhất (CH-04)</t>
  </si>
  <si>
    <t xml:space="preserve">Bột rau má</t>
  </si>
  <si>
    <t xml:space="preserve">Rau má / Bột rau má</t>
  </si>
  <si>
    <t xml:space="preserve">Cà rốt</t>
  </si>
  <si>
    <t xml:space="preserve">PHẢI TẠO — xay cùng đỗ xanh</t>
  </si>
  <si>
    <t xml:space="preserve">Bột cà rốt</t>
  </si>
  <si>
    <t xml:space="preserve">PHẢI TẠO — bột sữa dừa không đường</t>
  </si>
  <si>
    <t xml:space="preserve">Bột nghệ</t>
  </si>
  <si>
    <t xml:space="preserve">PHẢI TẠO</t>
  </si>
  <si>
    <t xml:space="preserve">Dầu chuối</t>
  </si>
  <si>
    <t xml:space="preserve">PHẢI TẠO — chè đậu đen</t>
  </si>
  <si>
    <t xml:space="preserve">Nước</t>
  </si>
  <si>
    <t xml:space="preserve">Không</t>
  </si>
  <si>
    <t xml:space="preserve">PHẢI TẠO với Maintain Stock = 0 (phi tồn kho). VẪN giữ trong BOM để cân bằng khối lượng (CH-10)</t>
  </si>
  <si>
    <t xml:space="preserve">(bao bì các loại)</t>
  </si>
  <si>
    <t xml:space="preserve">Bao bì</t>
  </si>
  <si>
    <t xml:space="preserve">Bao Bi</t>
  </si>
  <si>
    <t xml:space="preserve">Cái</t>
  </si>
  <si>
    <t xml:space="preserve">?</t>
  </si>
  <si>
    <t xml:space="preserve">Chưa thấy trong ảnh — có thể nằm ở Item Group khác. Khai chi tiết ở tầng 3 (CH-13)</t>
  </si>
  <si>
    <t xml:space="preserve">— BTP tầng 1 (tự sản xuất, chưa có trên ERPNext) —</t>
  </si>
  <si>
    <t xml:space="preserve">Bột đỗ xanh nền</t>
  </si>
  <si>
    <t xml:space="preserve">Bột đậu xanh nền</t>
  </si>
  <si>
    <t xml:space="preserve">BTP-Bot</t>
  </si>
  <si>
    <t xml:space="preserve">R</t>
  </si>
  <si>
    <t xml:space="preserve">Batch = mã lô rang R-DDMMYY</t>
  </si>
  <si>
    <t xml:space="preserve">Bột đỗ đen nền</t>
  </si>
  <si>
    <t xml:space="preserve">Bột đậu đen nền</t>
  </si>
  <si>
    <t xml:space="preserve">RD</t>
  </si>
  <si>
    <t xml:space="preserve">Hiệu suất ngang đỗ xanh</t>
  </si>
  <si>
    <t xml:space="preserve">Hỗn hợp màu đỏ</t>
  </si>
  <si>
    <t xml:space="preserve">BTP-HH</t>
  </si>
  <si>
    <t xml:space="preserve">HMD</t>
  </si>
  <si>
    <t xml:space="preserve">Mẻ 11.13kg, dùng ~10 mẻ đường</t>
  </si>
  <si>
    <t xml:space="preserve">Hỗn hợp màu vàng</t>
  </si>
  <si>
    <t xml:space="preserve">HMV</t>
  </si>
  <si>
    <t xml:space="preserve">Mẻ 3.3kg</t>
  </si>
  <si>
    <t xml:space="preserve">Đường hoán thường</t>
  </si>
  <si>
    <t xml:space="preserve">DH</t>
  </si>
  <si>
    <t xml:space="preserve">Mẻ 50kg</t>
  </si>
  <si>
    <t xml:space="preserve">Đường hoán khoai môn</t>
  </si>
  <si>
    <t xml:space="preserve">DHK</t>
  </si>
  <si>
    <t xml:space="preserve">Mẻ 51.1kg</t>
  </si>
  <si>
    <t xml:space="preserve">Đường hoán cốm</t>
  </si>
  <si>
    <t xml:space="preserve">DHC</t>
  </si>
  <si>
    <t xml:space="preserve">Mẻ 50.25kg</t>
  </si>
  <si>
    <t xml:space="preserve">— BTP tầng 2: BỘT BÁNH (8 loại) —</t>
  </si>
  <si>
    <t xml:space="preserve">Bột bánh truyền thống</t>
  </si>
  <si>
    <t xml:space="preserve">BB-TT</t>
  </si>
  <si>
    <t xml:space="preserve">Mẻ ~114kg</t>
  </si>
  <si>
    <t xml:space="preserve">Bột bánh thượng hạng</t>
  </si>
  <si>
    <t xml:space="preserve">BB-TH</t>
  </si>
  <si>
    <t xml:space="preserve">Bột bánh trà xanh</t>
  </si>
  <si>
    <t xml:space="preserve">BB-TX</t>
  </si>
  <si>
    <t xml:space="preserve">Bột bánh sầu riêng</t>
  </si>
  <si>
    <t xml:space="preserve">BB-SR</t>
  </si>
  <si>
    <t xml:space="preserve">Bột bánh dừa</t>
  </si>
  <si>
    <t xml:space="preserve">BB-DU</t>
  </si>
  <si>
    <t xml:space="preserve">Bột bánh khoai môn</t>
  </si>
  <si>
    <t xml:space="preserve">BB-KM</t>
  </si>
  <si>
    <t xml:space="preserve">Bột bánh cốm</t>
  </si>
  <si>
    <t xml:space="preserve">BB-CO</t>
  </si>
  <si>
    <t xml:space="preserve">Bột bánh sen</t>
  </si>
  <si>
    <t xml:space="preserve">BB-SE</t>
  </si>
  <si>
    <t xml:space="preserve">— BTP tầng 2: BỘT ĐẬU CÁC LOẠI (8 công thức) —</t>
  </si>
  <si>
    <t xml:space="preserve">Bột đậu sữa dừa có đường</t>
  </si>
  <si>
    <t xml:space="preserve">BDS</t>
  </si>
  <si>
    <t xml:space="preserve">Mẻ 40kg</t>
  </si>
  <si>
    <t xml:space="preserve">Bột đậu matcha có đường</t>
  </si>
  <si>
    <t xml:space="preserve">BDM</t>
  </si>
  <si>
    <t xml:space="preserve">Bột đậu rau má có đường</t>
  </si>
  <si>
    <t xml:space="preserve">BDR</t>
  </si>
  <si>
    <t xml:space="preserve">Bột đậu cà rốt có đường</t>
  </si>
  <si>
    <t xml:space="preserve">BDC</t>
  </si>
  <si>
    <t xml:space="preserve">Bột đậu sữa dừa không đường</t>
  </si>
  <si>
    <t xml:space="preserve">BDSK</t>
  </si>
  <si>
    <t xml:space="preserve">Bột đậu rau má không đường</t>
  </si>
  <si>
    <t xml:space="preserve">BDRK</t>
  </si>
  <si>
    <t xml:space="preserve">Bột đậu xanh dinh dưỡng</t>
  </si>
  <si>
    <t xml:space="preserve">BDD</t>
  </si>
  <si>
    <t xml:space="preserve">Chè đậu đen cốt dừa</t>
  </si>
  <si>
    <t xml:space="preserve">CDD</t>
  </si>
  <si>
    <t xml:space="preserve">Mẻ 46.05kg (khác chuẩn — đã xác nhận)</t>
  </si>
  <si>
    <t xml:space="preserve">TỔNG KẾT: 14 item nguyên liệu ĐÃ CÓ · 14 item nguyên liệu PHẢI TẠO THÊM · 23 item BTP phải tạo (7 tầng 1 + 16 tầng 2) · TP 40–50 SKU xem sheet BOM T3 SKU.</t>
  </si>
  <si>
    <t xml:space="preserve">BOM TẦNG 1 — BTP GỐC</t>
  </si>
  <si>
    <t xml:space="preserve">Bột đậu nền · Hỗn hợp màu · Đường hoán (3 biến thể)</t>
  </si>
  <si>
    <t xml:space="preserve">THÔNG SỐ GỐC</t>
  </si>
  <si>
    <t xml:space="preserve">Hiệu suất bột đậu (kg bột / kg đậu)</t>
  </si>
  <si>
    <t xml:space="preserve">1kg đậu xanh → 780g bột đậu</t>
  </si>
  <si>
    <t xml:space="preserve">Mã BOM</t>
  </si>
  <si>
    <t xml:space="preserve">Item đầu ra</t>
  </si>
  <si>
    <t xml:space="preserve">SL ra</t>
  </si>
  <si>
    <t xml:space="preserve">Nguyên liệu</t>
  </si>
  <si>
    <t xml:space="preserve">SL</t>
  </si>
  <si>
    <t xml:space="preserve">custom_nl_tron</t>
  </si>
  <si>
    <t xml:space="preserve">BOM-BOT-DX</t>
  </si>
  <si>
    <t xml:space="preserve">Tự tính từ hiệu suất ô B5. Sửa B5 là cả BOM đổi theo.</t>
  </si>
  <si>
    <t xml:space="preserve">Tổng nguyên liệu</t>
  </si>
  <si>
    <t xml:space="preserve">BOM-BOT-DD</t>
  </si>
  <si>
    <t xml:space="preserve">CH-09: hiệu suất ngang đậu xanh — dùng chung ô B5.</t>
  </si>
  <si>
    <t xml:space="preserve">BOM-HM-DO</t>
  </si>
  <si>
    <t xml:space="preserve">Item phi tồn kho (Maintain Stock=0) — giữ trong BOM cho đúng KL</t>
  </si>
  <si>
    <t xml:space="preserve">BOM-HM-VANG</t>
  </si>
  <si>
    <t xml:space="preserve">BOM-DH-TH</t>
  </si>
  <si>
    <t xml:space="preserve">Chính là 'đường kính Việt Nam' trong công thức (CH-14)</t>
  </si>
  <si>
    <t xml:space="preserve">60g</t>
  </si>
  <si>
    <t xml:space="preserve">BOM-DH-KM</t>
  </si>
  <si>
    <t xml:space="preserve">BTP — BOM-HM-DO phải Active trước</t>
  </si>
  <si>
    <t xml:space="preserve">BOM-DH-COM</t>
  </si>
  <si>
    <t xml:space="preserve">250g — BOM-HM-VANG phải Active trước</t>
  </si>
  <si>
    <t xml:space="preserve">✔ CH-02 ĐÃ CHỐT: 1 mẻ đường hoán thường ra 50kg (Chiến xác nhận 23/07/2026); chênh 60g vani coi như hao. Hai biến thể màu: SL ra = 50kg + KL hỗn hợp màu (51.1 / 50.25kg) — GIẢ ĐỊNH suy ra, chưa xác nhận riêng.</t>
  </si>
  <si>
    <t xml:space="preserve">BOM TẦNG 2 — NHÁNH BÁNH (BỘT BÁNH, 8 LOẠI)</t>
  </si>
  <si>
    <t xml:space="preserve">Nền chung mỗi mẻ: 53kg bột đậu + 11kg đường hoán + 25kg gluco + 25kg dầu = 114kg. 2 mẻ = 1 thùng ủ (228kg). Cán 1 thùng / 30 phút.</t>
  </si>
  <si>
    <t xml:space="preserve">BOM-BB-TT</t>
  </si>
  <si>
    <t xml:space="preserve">Bột bánh đậu xanh truyền thống</t>
  </si>
  <si>
    <t xml:space="preserve">Tổng 1 mẻ</t>
  </si>
  <si>
    <t xml:space="preserve">BOM-BB-TH</t>
  </si>
  <si>
    <t xml:space="preserve">Bột bánh đậu xanh thượng hạng</t>
  </si>
  <si>
    <t xml:space="preserve">BOM-BB-TX</t>
  </si>
  <si>
    <t xml:space="preserve">Bột bánh đậu xanh trà xanh</t>
  </si>
  <si>
    <t xml:space="preserve">Không dùng hương liệu (CH-05 đã chốt)</t>
  </si>
  <si>
    <t xml:space="preserve">BOM-BB-SR</t>
  </si>
  <si>
    <t xml:space="preserve">Bột bánh đậu xanh sầu riêng</t>
  </si>
  <si>
    <t xml:space="preserve">120ml → 0.12kg (1 lít = 1 kg, CH-16)</t>
  </si>
  <si>
    <t xml:space="preserve">400g</t>
  </si>
  <si>
    <t xml:space="preserve">BOM-BB-DU</t>
  </si>
  <si>
    <t xml:space="preserve">Bột bánh đậu xanh dừa</t>
  </si>
  <si>
    <t xml:space="preserve">90ml → 0.09kg (1 lít = 1 kg, CH-16)</t>
  </si>
  <si>
    <t xml:space="preserve">BOM-BB-KM</t>
  </si>
  <si>
    <t xml:space="preserve">Bột bánh đậu khoai môn</t>
  </si>
  <si>
    <t xml:space="preserve">BOM-BB-CO</t>
  </si>
  <si>
    <t xml:space="preserve">Bột bánh đậu xanh cốm</t>
  </si>
  <si>
    <t xml:space="preserve">BOM-BB-SE</t>
  </si>
  <si>
    <t xml:space="preserve">Bột bánh đậu xanh sen</t>
  </si>
  <si>
    <t xml:space="preserve">70ml → 0.07kg (1 lít = 1 kg, CH-16)</t>
  </si>
  <si>
    <t xml:space="preserve">GIẢ ĐỊNH: 'SL ra' = tổng khối lượng nguyên liệu (trộn không hao). Nếu thực tế có hao khi trộn, sửa cột C thành số thực rồi ghi % hao vào Ghi chú.</t>
  </si>
  <si>
    <t xml:space="preserve">BOM TẦNG 2 — NHÁNH BỘT ĐẬU (8 CÔNG THỨC)</t>
  </si>
  <si>
    <t xml:space="preserve">Mẻ chuẩn 40kg — riêng chè đậu đen là mẻ 46.05kg (đã xác nhận).</t>
  </si>
  <si>
    <t xml:space="preserve">BOM-BDS</t>
  </si>
  <si>
    <t xml:space="preserve">Bột đậu sữa dừa CÓ đường</t>
  </si>
  <si>
    <t xml:space="preserve">Công thức gốc ghi 'sữa dừa' — cùng 1 item (CH-04)</t>
  </si>
  <si>
    <t xml:space="preserve">50g</t>
  </si>
  <si>
    <t xml:space="preserve">Đối chiếu mẻ chuẩn 40kg</t>
  </si>
  <si>
    <t xml:space="preserve">BOM-BDM</t>
  </si>
  <si>
    <t xml:space="preserve">Bột đậu matcha CÓ đường</t>
  </si>
  <si>
    <t xml:space="preserve">500g</t>
  </si>
  <si>
    <t xml:space="preserve">BOM-BDR</t>
  </si>
  <si>
    <t xml:space="preserve">Bột đậu rau má CÓ đường</t>
  </si>
  <si>
    <t xml:space="preserve">Công thức gốc ghi 'rau má' — cùng 1 item (CH-04)</t>
  </si>
  <si>
    <t xml:space="preserve">BOM-BDC</t>
  </si>
  <si>
    <t xml:space="preserve">Bột đậu cà rốt CÓ đường</t>
  </si>
  <si>
    <t xml:space="preserve">✔ CH-03: KHÔNG tách BTP riêng — 2 NL rời khi trộn.</t>
  </si>
  <si>
    <t xml:space="preserve">Xay cùng đậu xanh; 2 loại = 19.6kg</t>
  </si>
  <si>
    <t xml:space="preserve">BOM-BDSK</t>
  </si>
  <si>
    <t xml:space="preserve">Bột đậu sữa dừa KHÔNG đường</t>
  </si>
  <si>
    <t xml:space="preserve">BOM-BDRK</t>
  </si>
  <si>
    <t xml:space="preserve">Bột đậu rau má KHÔNG đường</t>
  </si>
  <si>
    <t xml:space="preserve">100g</t>
  </si>
  <si>
    <t xml:space="preserve">BOM-BDD</t>
  </si>
  <si>
    <t xml:space="preserve">BOM-CDD</t>
  </si>
  <si>
    <t xml:space="preserve">BTP tự sản xuất — BOM-BOT-DD</t>
  </si>
  <si>
    <t xml:space="preserve">✔ Mẻ 46.05kg — khác chuẩn 40kg nhưng ĐÚNG (Chiến xác nhận 23/07)</t>
  </si>
  <si>
    <t xml:space="preserve">✔ CH-06 ĐÃ CHỐT: 'Chè đậu đen cốt dừa' là mẻ 46.05kg — khác 7 công thức kia (40.05kg) nhưng đúng thực tế. custom_co_me_chuan_kg của riêng SP này = 46.05.</t>
  </si>
  <si>
    <t xml:space="preserve">TẦNG 3 — QUY CÁCH ĐÓNG GÓI  ·  THAM KHẢO (Chiến tự tạo BOM trên ERPNext)</t>
  </si>
  <si>
    <t xml:space="preserve">Tầng 3 do Chiến tự tạo trực tiếp trên ERPNext. Sheet này giữ lại làm mẫu cấu trúc: mỗi SKU = 1 BOM, Quantity 1 Hộp, nguyên liệu = ruột (mã BTP tầng 2) + bao bì.</t>
  </si>
  <si>
    <t xml:space="preserve">Nhắc: KL tịnh (g) trên bao bì = số gam ruột mỗi hộp (hao trộn không đáng kể — CH-08).</t>
  </si>
  <si>
    <t xml:space="preserve">Mã SKU</t>
  </si>
  <si>
    <t xml:space="preserve">Tên SKU (như trên ERPNext)</t>
  </si>
  <si>
    <t xml:space="preserve">Ruột dùng loại nào</t>
  </si>
  <si>
    <t xml:space="preserve">KL tịnh (g)</t>
  </si>
  <si>
    <t xml:space="preserve">ĐVT bán</t>
  </si>
  <si>
    <t xml:space="preserve">Vỏ hộp (tên)</t>
  </si>
  <si>
    <t xml:space="preserve">SL vỏ</t>
  </si>
  <si>
    <t xml:space="preserve">Khay/túi trong (tên)</t>
  </si>
  <si>
    <t xml:space="preserve">SL khay</t>
  </si>
  <si>
    <t xml:space="preserve">Bao bì khác / ghi chú</t>
  </si>
  <si>
    <t xml:space="preserve">VD-TP-001</t>
  </si>
  <si>
    <t xml:space="preserve">Bánh đậu xanh truyền thống hộp 200g</t>
  </si>
  <si>
    <t xml:space="preserve">BB-TRUYENTHONG</t>
  </si>
  <si>
    <t xml:space="preserve">Hộp</t>
  </si>
  <si>
    <t xml:space="preserve">Vỏ hộp giấy 200g</t>
  </si>
  <si>
    <t xml:space="preserve">Khay nhựa 10 viên</t>
  </si>
  <si>
    <t xml:space="preserve">DÒNG VÍ DỤ — xoá đi khi điền</t>
  </si>
  <si>
    <t xml:space="preserve">VD-TP-002</t>
  </si>
  <si>
    <t xml:space="preserve">Bột đậu sữa dừa có đường túi 400g</t>
  </si>
  <si>
    <t xml:space="preserve">BD-SUADUA-CD</t>
  </si>
  <si>
    <t xml:space="preserve">Túi</t>
  </si>
  <si>
    <t xml:space="preserve">Túi zip 400g</t>
  </si>
  <si>
    <t xml:space="preserve">GIẢI THÍCH CỘT:
• Ruột dùng loại nào — điền mã BTP tầng 2, xem sheet DANH MUC ITEM (8 mã BB-* cho bánh, 8 mã BD-*/CDD cho bột).
• KL tịnh (g) — khối lượng ghi trên bao bì. Vì hao trộn không đáng kể (CH-08), đây chính là số gam ruột mỗi hộp → Claude quy ra kg cho BOM.
• Nhiều SKU chung ruột chỉ khác quy cách → điền nhanh bằng copy dòng, đổi mỗi KL và bao bì.
• Chưa rõ bao bì thì bỏ trống cột F–J, bổ sung sau; BOM vẫn dựng được phần ruột trước.</t>
  </si>
  <si>
    <t xml:space="preserve">CÂU HỎI CẦN CHIẾN TRẢ LỜI TRƯỚC KHI NHẬP ERPNEXT (GATE-A)</t>
  </si>
  <si>
    <t xml:space="preserve">Mã</t>
  </si>
  <si>
    <t xml:space="preserve">Chủ đề</t>
  </si>
  <si>
    <t xml:space="preserve">Câu hỏi</t>
  </si>
  <si>
    <t xml:space="preserve">Trả lời</t>
  </si>
  <si>
    <t xml:space="preserve">CH-01</t>
  </si>
  <si>
    <t xml:space="preserve">Số loại bánh</t>
  </si>
  <si>
    <t xml:space="preserve">Bánh đậu xanh có bao nhiêu loại (công thức ruột)?</t>
  </si>
  <si>
    <t xml:space="preserve">✔ 8 loại (Chiến 23/07, sửa lại từ 9): truyền thống, thượng hạng, trà xanh, sầu riêng, dừa, khoai môn, cốm, sen</t>
  </si>
  <si>
    <t xml:space="preserve">CH-02</t>
  </si>
  <si>
    <t xml:space="preserve">Đường hoán</t>
  </si>
  <si>
    <t xml:space="preserve">1 mẻ nấu ra bao nhiêu kg đường hoán?</t>
  </si>
  <si>
    <t xml:space="preserve">✔ 50kg (Chiến, 23/07). Biến thể màu = 50 + KL hỗn hợp màu (giả định)</t>
  </si>
  <si>
    <t xml:space="preserve">CH-03</t>
  </si>
  <si>
    <t xml:space="preserve">Có cần BTP riêng 'bột đậu cà rốt' (nghiền chung với đậu) không?</t>
  </si>
  <si>
    <t xml:space="preserve">✔ KHÔNG (Chiến, 23/07). Tính 2 NL rời khi trộn</t>
  </si>
  <si>
    <t xml:space="preserve">CH-04</t>
  </si>
  <si>
    <t xml:space="preserve">Nguyên liệu đôi</t>
  </si>
  <si>
    <t xml:space="preserve">Các cặp sau là 2 item KHÁC NHAU hay cùng 1: (a) 'Sữa dừa' vs 'Bột sữa dừa'; (b) 'Rau má' vs 'Bột rau má'? Nếu khác thì dạng gì (lỏng/tươi/bột)?</t>
  </si>
  <si>
    <t xml:space="preserve">✔ LÀ 1 ITEM (Chiến, 23/07). Dùng tên 'Bột sữa dừa' / 'Bột rau má'</t>
  </si>
  <si>
    <t xml:space="preserve">CH-05</t>
  </si>
  <si>
    <t xml:space="preserve">Hương liệu bánh</t>
  </si>
  <si>
    <t xml:space="preserve">Bánh trà xanh / truyền thống / thượng hạng có dùng hương liệu không?</t>
  </si>
  <si>
    <t xml:space="preserve">✔ KHÔNG (Chiến, 23/07). Chỉ 5 loại có hương: dừa, khoai, cốm, sen, sầu riêng</t>
  </si>
  <si>
    <t xml:space="preserve">CH-06</t>
  </si>
  <si>
    <t xml:space="preserve">Công thức cộng ra 46.05kg trong khi 7 công thức bột kia đều 40.05kg. Mẻ 46kg thật hay có nhầm lẫn?</t>
  </si>
  <si>
    <t xml:space="preserve">✔ ĐÚNG là mẻ 46.05kg (Chiến, 23/07)</t>
  </si>
  <si>
    <t xml:space="preserve">CH-07</t>
  </si>
  <si>
    <t xml:space="preserve">Công suất rang</t>
  </si>
  <si>
    <t xml:space="preserve">120kg/h là MỖI MÁY hay cả 3 máy cộng lại?</t>
  </si>
  <si>
    <t xml:space="preserve">✔ MỖI MÁY → tổng 360 kg/h (Chiến, 23/07)</t>
  </si>
  <si>
    <t xml:space="preserve">CH-08</t>
  </si>
  <si>
    <t xml:space="preserve">Hao hụt</t>
  </si>
  <si>
    <t xml:space="preserve">Trộn bánh / trộn bột có hao khối lượng không?</t>
  </si>
  <si>
    <t xml:space="preserve">✔ Không đáng kể (Chiến, 23/07). SL ra = tổng NL</t>
  </si>
  <si>
    <t xml:space="preserve">CH-09</t>
  </si>
  <si>
    <t xml:space="preserve">Bột đậu đen tự rang/nghiền hay mua sẵn? Hiệu suất bao nhiêu?</t>
  </si>
  <si>
    <t xml:space="preserve">✔ Tự rang/nghiền, hiệu suất ngang đậu xanh = 0.78 (Chiến, 23/07)</t>
  </si>
  <si>
    <t xml:space="preserve">CH-10</t>
  </si>
  <si>
    <t xml:space="preserve">Nước trong hỗn hợp màu có quản lý tồn kho không?</t>
  </si>
  <si>
    <t xml:space="preserve">✔ KHÔNG quản kho → Item Maintain Stock=0. LƯU Ý: vẫn PHẢI giữ trong BOM, nếu bỏ hẳn thì khối lượng hỗn hợp màu sai (11.13kg ra từ 1.13kg NL)</t>
  </si>
  <si>
    <t xml:space="preserve">CH-11</t>
  </si>
  <si>
    <t xml:space="preserve">Đường hoán/mẻ</t>
  </si>
  <si>
    <t xml:space="preserve">1 mẻ đường hoán 50kg đủ cho ~4.5 mẻ bánh — đúng thực tế?</t>
  </si>
  <si>
    <t xml:space="preserve">✔ Đúng (Chiến, 23/07)</t>
  </si>
  <si>
    <t xml:space="preserve">CH-12</t>
  </si>
  <si>
    <t xml:space="preserve">Cỡ mẻ chuẩn</t>
  </si>
  <si>
    <t xml:space="preserve">custom_co_me_chuan_kg: bánh ~114kg/mẻ, bột 40kg/mẻ, riêng chè đậu đen 46.05kg/mẻ. Xác nhận?</t>
  </si>
  <si>
    <t xml:space="preserve">CH-14</t>
  </si>
  <si>
    <t xml:space="preserve">Đường kính VN</t>
  </si>
  <si>
    <t xml:space="preserve">'Đường kính Việt Nam' trong công thức = item 'Đường nghệ an'?</t>
  </si>
  <si>
    <t xml:space="preserve">✔ ĐÚNG, là 1 (Chiến, 23/07)</t>
  </si>
  <si>
    <t xml:space="preserve">CH-15</t>
  </si>
  <si>
    <t xml:space="preserve">Đường Trung Quốc</t>
  </si>
  <si>
    <t xml:space="preserve">'Đường trung quốc' trong công thức bột = 'Đường Gluco China'?</t>
  </si>
  <si>
    <t xml:space="preserve">✔ LÀ 1 (Chiến, 23/07). Item này dùng ở CẢ 2 nhánh bánh và bột</t>
  </si>
  <si>
    <t xml:space="preserve">CH-16</t>
  </si>
  <si>
    <t xml:space="preserve">ĐVT hương liệu</t>
  </si>
  <si>
    <t xml:space="preserve">Hương liệu ghi ml nhưng ERPNext để ĐVT Kg — xử lý thế nào?</t>
  </si>
  <si>
    <t xml:space="preserve">✔ 1 lít = 1 kg, quy đổi ra Kg (Chiến, 23/07)</t>
  </si>
  <si>
    <t xml:space="preserve">CH-13</t>
  </si>
  <si>
    <t xml:space="preserve">SKU tầng 3</t>
  </si>
  <si>
    <t xml:space="preserve">Danh sách 40–50 SKU + quy cách đóng gói.</t>
  </si>
  <si>
    <t xml:space="preserve">✔ ĐÓNG (Chiến, 23/07): tự tạo BOM sản phẩm trên ERPNext. Sheet 'BOM T3 SKU' giữ lại làm tham khảo cấu trúc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</si>
</sst>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"/>
    <numFmt numFmtId="167" formatCode="0.000"/>
    <numFmt numFmtId="168" formatCode="#,##0.00"/>
    <numFmt numFmtId="169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CCCCFF"/>
      </patternFill>
    </fill>
    <fill>
      <patternFill patternType="solid">
        <fgColor rgb="FF1F4E5F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8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/>
      <c r="C4" s="4"/>
    </row>
    <row r="5" customFormat="false" ht="23.85" hidden="false" customHeight="false" outlineLevel="0" collapsed="false">
      <c r="B5" s="5" t="s">
        <v>2</v>
      </c>
      <c r="C5" s="4" t="s">
        <v>3</v>
      </c>
    </row>
    <row r="6" customFormat="false" ht="15" hidden="false" customHeight="false" outlineLevel="0" collapsed="false">
      <c r="B6" s="3"/>
      <c r="C6" s="4"/>
    </row>
    <row r="7" customFormat="false" ht="15" hidden="false" customHeight="false" outlineLevel="0" collapsed="false">
      <c r="B7" s="5" t="s">
        <v>4</v>
      </c>
      <c r="C7" s="4"/>
    </row>
    <row r="8" customFormat="false" ht="15" hidden="false" customHeight="false" outlineLevel="0" collapsed="false">
      <c r="B8" s="6" t="s">
        <v>5</v>
      </c>
      <c r="C8" s="4" t="s">
        <v>6</v>
      </c>
    </row>
    <row r="9" customFormat="false" ht="15" hidden="false" customHeight="false" outlineLevel="0" collapsed="false">
      <c r="B9" s="7" t="s">
        <v>7</v>
      </c>
      <c r="C9" s="4" t="s">
        <v>8</v>
      </c>
    </row>
    <row r="10" customFormat="false" ht="15" hidden="false" customHeight="false" outlineLevel="0" collapsed="false">
      <c r="B10" s="8" t="s">
        <v>9</v>
      </c>
      <c r="C10" s="4" t="s">
        <v>10</v>
      </c>
    </row>
    <row r="11" customFormat="false" ht="15" hidden="false" customHeight="false" outlineLevel="0" collapsed="false">
      <c r="B11" s="9" t="s">
        <v>11</v>
      </c>
      <c r="C11" s="4" t="s">
        <v>12</v>
      </c>
    </row>
    <row r="12" customFormat="false" ht="15" hidden="false" customHeight="false" outlineLevel="0" collapsed="false">
      <c r="B12" s="3"/>
      <c r="C12" s="4"/>
    </row>
    <row r="13" customFormat="false" ht="15" hidden="false" customHeight="false" outlineLevel="0" collapsed="false">
      <c r="B13" s="5" t="s">
        <v>13</v>
      </c>
      <c r="C13" s="4"/>
    </row>
    <row r="14" customFormat="false" ht="15" hidden="false" customHeight="false" outlineLevel="0" collapsed="false">
      <c r="B14" s="3" t="s">
        <v>14</v>
      </c>
      <c r="C14" s="4" t="s">
        <v>15</v>
      </c>
    </row>
    <row r="15" customFormat="false" ht="15" hidden="false" customHeight="false" outlineLevel="0" collapsed="false">
      <c r="B15" s="3" t="s">
        <v>16</v>
      </c>
      <c r="C15" s="4" t="s">
        <v>17</v>
      </c>
    </row>
    <row r="16" customFormat="false" ht="15" hidden="false" customHeight="false" outlineLevel="0" collapsed="false">
      <c r="B16" s="3" t="s">
        <v>18</v>
      </c>
      <c r="C16" s="4" t="s">
        <v>19</v>
      </c>
    </row>
    <row r="17" customFormat="false" ht="15" hidden="false" customHeight="false" outlineLevel="0" collapsed="false">
      <c r="B17" s="3" t="s">
        <v>20</v>
      </c>
      <c r="C17" s="4" t="s">
        <v>21</v>
      </c>
    </row>
    <row r="18" customFormat="false" ht="15" hidden="false" customHeight="false" outlineLevel="0" collapsed="false">
      <c r="B18" s="3" t="s">
        <v>22</v>
      </c>
      <c r="C18" s="4" t="s">
        <v>23</v>
      </c>
    </row>
    <row r="19" customFormat="false" ht="15" hidden="false" customHeight="false" outlineLevel="0" collapsed="false">
      <c r="B19" s="3" t="s">
        <v>24</v>
      </c>
      <c r="C19" s="4" t="s">
        <v>25</v>
      </c>
    </row>
    <row r="20" customFormat="false" ht="15" hidden="false" customHeight="false" outlineLevel="0" collapsed="false">
      <c r="B20" s="3" t="s">
        <v>26</v>
      </c>
      <c r="C20" s="4" t="s">
        <v>27</v>
      </c>
    </row>
    <row r="21" customFormat="false" ht="15" hidden="false" customHeight="false" outlineLevel="0" collapsed="false">
      <c r="B21" s="3"/>
      <c r="C21" s="4"/>
    </row>
    <row r="22" customFormat="false" ht="15" hidden="false" customHeight="false" outlineLevel="0" collapsed="false">
      <c r="B22" s="5" t="s">
        <v>28</v>
      </c>
      <c r="C22" s="4" t="s">
        <v>29</v>
      </c>
    </row>
    <row r="23" customFormat="false" ht="15" hidden="false" customHeight="false" outlineLevel="0" collapsed="false">
      <c r="B23" s="3"/>
      <c r="C23" s="4" t="s">
        <v>30</v>
      </c>
    </row>
    <row r="24" customFormat="false" ht="15" hidden="false" customHeight="false" outlineLevel="0" collapsed="false">
      <c r="B24" s="3"/>
      <c r="C24" s="4" t="s">
        <v>31</v>
      </c>
    </row>
    <row r="25" customFormat="false" ht="15" hidden="false" customHeight="false" outlineLevel="0" collapsed="false">
      <c r="B25" s="3"/>
      <c r="C25" s="4" t="s">
        <v>32</v>
      </c>
    </row>
    <row r="26" customFormat="false" ht="15" hidden="false" customHeight="false" outlineLevel="0" collapsed="false">
      <c r="B26" s="3"/>
      <c r="C26" s="4" t="s">
        <v>33</v>
      </c>
    </row>
    <row r="27" customFormat="false" ht="15" hidden="false" customHeight="false" outlineLevel="0" collapsed="false">
      <c r="B27" s="3"/>
      <c r="C27" s="4"/>
    </row>
    <row r="28" customFormat="false" ht="15" hidden="false" customHeight="false" outlineLevel="0" collapsed="false">
      <c r="B28" s="5" t="s">
        <v>34</v>
      </c>
      <c r="C28" s="4" t="s">
        <v>35</v>
      </c>
    </row>
    <row r="29" customFormat="false" ht="15" hidden="false" customHeight="false" outlineLevel="0" collapsed="false">
      <c r="B29" s="3"/>
      <c r="C29" s="4" t="s">
        <v>36</v>
      </c>
    </row>
    <row r="30" customFormat="false" ht="15" hidden="false" customHeight="false" outlineLevel="0" collapsed="false">
      <c r="B30" s="3"/>
      <c r="C30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10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2" t="n">
        <v>1</v>
      </c>
      <c r="D5" s="12" t="n">
        <v>240</v>
      </c>
      <c r="E5" s="11" t="s">
        <v>50</v>
      </c>
      <c r="F5" s="13" t="n">
        <f aca="false">C5*D5</f>
        <v>240</v>
      </c>
      <c r="G5" s="13" t="n">
        <f aca="false">F5*8</f>
        <v>1920</v>
      </c>
      <c r="H5" s="14" t="s">
        <v>51</v>
      </c>
    </row>
    <row r="6" customFormat="false" ht="15" hidden="false" customHeight="false" outlineLevel="0" collapsed="false">
      <c r="A6" s="11" t="s">
        <v>52</v>
      </c>
      <c r="B6" s="11" t="s">
        <v>53</v>
      </c>
      <c r="C6" s="12" t="n">
        <v>3</v>
      </c>
      <c r="D6" s="12" t="n">
        <v>120</v>
      </c>
      <c r="E6" s="11" t="s">
        <v>50</v>
      </c>
      <c r="F6" s="13" t="n">
        <f aca="false">C6*D6</f>
        <v>360</v>
      </c>
      <c r="G6" s="13" t="n">
        <f aca="false">F6*8</f>
        <v>2880</v>
      </c>
      <c r="H6" s="14" t="s">
        <v>54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2" t="n">
        <v>1</v>
      </c>
      <c r="D7" s="15" t="n">
        <f aca="false">2000/7</f>
        <v>285.714285714286</v>
      </c>
      <c r="E7" s="11" t="s">
        <v>50</v>
      </c>
      <c r="F7" s="13" t="n">
        <f aca="false">C7*D7</f>
        <v>285.714285714286</v>
      </c>
      <c r="G7" s="13" t="n">
        <f aca="false">F7*8</f>
        <v>2285.71428571429</v>
      </c>
      <c r="H7" s="14" t="s">
        <v>57</v>
      </c>
    </row>
    <row r="8" customFormat="false" ht="15" hidden="false" customHeight="false" outlineLevel="0" collapsed="false">
      <c r="A8" s="11" t="s">
        <v>58</v>
      </c>
      <c r="B8" s="11" t="s">
        <v>59</v>
      </c>
      <c r="C8" s="12" t="n">
        <v>2</v>
      </c>
      <c r="D8" s="15" t="n">
        <f aca="false">3000/10</f>
        <v>300</v>
      </c>
      <c r="E8" s="11" t="s">
        <v>50</v>
      </c>
      <c r="F8" s="13" t="n">
        <f aca="false">C8*D8</f>
        <v>600</v>
      </c>
      <c r="G8" s="13" t="n">
        <f aca="false">F8*8</f>
        <v>4800</v>
      </c>
      <c r="H8" s="14" t="s">
        <v>60</v>
      </c>
    </row>
    <row r="9" customFormat="false" ht="15" hidden="false" customHeight="false" outlineLevel="0" collapsed="false">
      <c r="A9" s="11" t="s">
        <v>61</v>
      </c>
      <c r="B9" s="11" t="s">
        <v>62</v>
      </c>
      <c r="C9" s="12" t="n">
        <v>1</v>
      </c>
      <c r="D9" s="12" t="n">
        <v>50</v>
      </c>
      <c r="E9" s="11" t="s">
        <v>50</v>
      </c>
      <c r="F9" s="13" t="n">
        <f aca="false">C9*D9</f>
        <v>50</v>
      </c>
      <c r="G9" s="13" t="n">
        <f aca="false">F9*8</f>
        <v>400</v>
      </c>
      <c r="H9" s="14" t="s">
        <v>63</v>
      </c>
    </row>
    <row r="10" customFormat="false" ht="15" hidden="false" customHeight="false" outlineLevel="0" collapsed="false">
      <c r="A10" s="11" t="s">
        <v>64</v>
      </c>
      <c r="B10" s="11" t="s">
        <v>65</v>
      </c>
      <c r="C10" s="12" t="n">
        <v>1</v>
      </c>
      <c r="D10" s="15" t="n">
        <f aca="false">25/8</f>
        <v>3.125</v>
      </c>
      <c r="E10" s="11" t="s">
        <v>66</v>
      </c>
      <c r="F10" s="13" t="n">
        <f aca="false">C10*D10</f>
        <v>3.125</v>
      </c>
      <c r="G10" s="13" t="n">
        <f aca="false">F10*8</f>
        <v>25</v>
      </c>
      <c r="H10" s="14" t="s">
        <v>67</v>
      </c>
    </row>
    <row r="11" customFormat="false" ht="15" hidden="false" customHeight="false" outlineLevel="0" collapsed="false">
      <c r="A11" s="11" t="s">
        <v>68</v>
      </c>
      <c r="B11" s="11" t="s">
        <v>69</v>
      </c>
      <c r="C11" s="12" t="n">
        <v>1</v>
      </c>
      <c r="D11" s="15" t="n">
        <f aca="false">1/0.5</f>
        <v>2</v>
      </c>
      <c r="E11" s="11" t="s">
        <v>70</v>
      </c>
      <c r="F11" s="13" t="n">
        <f aca="false">C11*D11</f>
        <v>2</v>
      </c>
      <c r="G11" s="13" t="n">
        <f aca="false">F11*8</f>
        <v>16</v>
      </c>
      <c r="H11" s="14" t="s">
        <v>71</v>
      </c>
    </row>
    <row r="13" customFormat="false" ht="15" hidden="false" customHeight="false" outlineLevel="0" collapsed="false">
      <c r="A13" s="5" t="s">
        <v>72</v>
      </c>
    </row>
    <row r="14" customFormat="false" ht="15" hidden="false" customHeight="false" outlineLevel="0" collapsed="false">
      <c r="A14" s="5" t="s">
        <v>40</v>
      </c>
      <c r="B14" s="5" t="s">
        <v>50</v>
      </c>
      <c r="C14" s="5" t="s">
        <v>73</v>
      </c>
    </row>
    <row r="15" customFormat="false" ht="15" hidden="false" customHeight="false" outlineLevel="0" collapsed="false">
      <c r="A15" s="3" t="s">
        <v>48</v>
      </c>
      <c r="B15" s="16" t="n">
        <f aca="false">F5</f>
        <v>240</v>
      </c>
      <c r="C15" s="3" t="s">
        <v>74</v>
      </c>
    </row>
    <row r="16" customFormat="false" ht="15" hidden="false" customHeight="false" outlineLevel="0" collapsed="false">
      <c r="A16" s="3" t="s">
        <v>52</v>
      </c>
      <c r="B16" s="16" t="n">
        <f aca="false">F6</f>
        <v>360</v>
      </c>
      <c r="C16" s="3" t="s">
        <v>75</v>
      </c>
    </row>
    <row r="17" customFormat="false" ht="15" hidden="false" customHeight="false" outlineLevel="0" collapsed="false">
      <c r="A17" s="3" t="s">
        <v>55</v>
      </c>
      <c r="B17" s="16" t="n">
        <f aca="false">F7</f>
        <v>285.714285714286</v>
      </c>
      <c r="C17" s="3" t="s">
        <v>76</v>
      </c>
    </row>
    <row r="18" customFormat="false" ht="15" hidden="false" customHeight="false" outlineLevel="0" collapsed="false">
      <c r="A18" s="3" t="s">
        <v>58</v>
      </c>
      <c r="B18" s="16" t="n">
        <f aca="false">F8</f>
        <v>600</v>
      </c>
      <c r="C18" s="3" t="s">
        <v>77</v>
      </c>
    </row>
    <row r="20" customFormat="false" ht="15" hidden="false" customHeight="true" outlineLevel="0" collapsed="false">
      <c r="A20" s="17" t="s">
        <v>78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</row>
    <row r="23" customFormat="false" ht="15" hidden="false" customHeight="true" outlineLevel="0" collapsed="false">
      <c r="A23" s="18" t="s">
        <v>79</v>
      </c>
      <c r="B23" s="18"/>
      <c r="C23" s="18"/>
      <c r="D23" s="18"/>
      <c r="E23" s="18"/>
      <c r="F23" s="18"/>
      <c r="G23" s="18"/>
      <c r="H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</row>
  </sheetData>
  <mergeCells count="2">
    <mergeCell ref="A20:H21"/>
    <mergeCell ref="A23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80</v>
      </c>
    </row>
    <row r="2" customFormat="false" ht="43.25" hidden="false" customHeight="false" outlineLevel="0" collapsed="false">
      <c r="A2" s="19" t="s">
        <v>81</v>
      </c>
    </row>
    <row r="4" customFormat="false" ht="30" hidden="false" customHeight="true" outlineLevel="0" collapsed="false">
      <c r="A4" s="10" t="s">
        <v>82</v>
      </c>
      <c r="B4" s="10" t="s">
        <v>83</v>
      </c>
      <c r="C4" s="10" t="s">
        <v>84</v>
      </c>
      <c r="D4" s="10" t="s">
        <v>44</v>
      </c>
      <c r="E4" s="10" t="s">
        <v>85</v>
      </c>
      <c r="F4" s="10" t="s">
        <v>86</v>
      </c>
      <c r="G4" s="10" t="s">
        <v>87</v>
      </c>
      <c r="H4" s="10" t="s">
        <v>47</v>
      </c>
    </row>
    <row r="5" customFormat="false" ht="15" hidden="false" customHeight="false" outlineLevel="0" collapsed="false">
      <c r="A5" s="12" t="s">
        <v>88</v>
      </c>
      <c r="B5" s="11" t="s">
        <v>89</v>
      </c>
      <c r="C5" s="11" t="s">
        <v>90</v>
      </c>
      <c r="D5" s="11" t="s">
        <v>91</v>
      </c>
      <c r="E5" s="11" t="s">
        <v>92</v>
      </c>
      <c r="F5" s="11"/>
      <c r="G5" s="20" t="s">
        <v>93</v>
      </c>
      <c r="H5" s="14"/>
    </row>
    <row r="6" customFormat="false" ht="15" hidden="false" customHeight="false" outlineLevel="0" collapsed="false">
      <c r="A6" s="12" t="s">
        <v>94</v>
      </c>
      <c r="B6" s="11" t="s">
        <v>95</v>
      </c>
      <c r="C6" s="11" t="s">
        <v>90</v>
      </c>
      <c r="D6" s="11" t="s">
        <v>91</v>
      </c>
      <c r="E6" s="11" t="s">
        <v>92</v>
      </c>
      <c r="F6" s="11"/>
      <c r="G6" s="20" t="s">
        <v>93</v>
      </c>
      <c r="H6" s="14" t="s">
        <v>96</v>
      </c>
    </row>
    <row r="7" customFormat="false" ht="15" hidden="false" customHeight="false" outlineLevel="0" collapsed="false">
      <c r="A7" s="12" t="s">
        <v>97</v>
      </c>
      <c r="B7" s="11" t="s">
        <v>98</v>
      </c>
      <c r="C7" s="11" t="s">
        <v>90</v>
      </c>
      <c r="D7" s="11" t="s">
        <v>91</v>
      </c>
      <c r="E7" s="11" t="s">
        <v>92</v>
      </c>
      <c r="F7" s="11"/>
      <c r="G7" s="20" t="s">
        <v>93</v>
      </c>
      <c r="H7" s="14" t="s">
        <v>99</v>
      </c>
    </row>
    <row r="8" customFormat="false" ht="15" hidden="false" customHeight="false" outlineLevel="0" collapsed="false">
      <c r="A8" s="12" t="s">
        <v>100</v>
      </c>
      <c r="B8" s="11" t="s">
        <v>101</v>
      </c>
      <c r="C8" s="11" t="s">
        <v>90</v>
      </c>
      <c r="D8" s="11" t="s">
        <v>91</v>
      </c>
      <c r="E8" s="11" t="s">
        <v>92</v>
      </c>
      <c r="F8" s="11"/>
      <c r="G8" s="20" t="s">
        <v>93</v>
      </c>
      <c r="H8" s="14" t="s">
        <v>102</v>
      </c>
    </row>
    <row r="9" customFormat="false" ht="23.85" hidden="false" customHeight="false" outlineLevel="0" collapsed="false">
      <c r="A9" s="12" t="s">
        <v>103</v>
      </c>
      <c r="B9" s="11" t="s">
        <v>104</v>
      </c>
      <c r="C9" s="11" t="s">
        <v>90</v>
      </c>
      <c r="D9" s="11" t="s">
        <v>91</v>
      </c>
      <c r="E9" s="11" t="s">
        <v>92</v>
      </c>
      <c r="F9" s="11"/>
      <c r="G9" s="20" t="s">
        <v>93</v>
      </c>
      <c r="H9" s="14" t="s">
        <v>105</v>
      </c>
    </row>
    <row r="10" customFormat="false" ht="15" hidden="false" customHeight="false" outlineLevel="0" collapsed="false">
      <c r="A10" s="12" t="s">
        <v>106</v>
      </c>
      <c r="B10" s="11" t="s">
        <v>107</v>
      </c>
      <c r="C10" s="11" t="s">
        <v>90</v>
      </c>
      <c r="D10" s="11" t="s">
        <v>91</v>
      </c>
      <c r="E10" s="11" t="s">
        <v>92</v>
      </c>
      <c r="F10" s="11"/>
      <c r="G10" s="20" t="s">
        <v>93</v>
      </c>
      <c r="H10" s="14" t="s">
        <v>108</v>
      </c>
    </row>
    <row r="11" customFormat="false" ht="15" hidden="false" customHeight="false" outlineLevel="0" collapsed="false">
      <c r="A11" s="12" t="s">
        <v>109</v>
      </c>
      <c r="B11" s="11" t="s">
        <v>109</v>
      </c>
      <c r="C11" s="11" t="s">
        <v>90</v>
      </c>
      <c r="D11" s="11" t="s">
        <v>91</v>
      </c>
      <c r="E11" s="11" t="s">
        <v>92</v>
      </c>
      <c r="F11" s="11"/>
      <c r="G11" s="20" t="s">
        <v>93</v>
      </c>
      <c r="H11" s="14"/>
    </row>
    <row r="12" customFormat="false" ht="15" hidden="false" customHeight="false" outlineLevel="0" collapsed="false">
      <c r="A12" s="12" t="s">
        <v>110</v>
      </c>
      <c r="B12" s="11" t="s">
        <v>111</v>
      </c>
      <c r="C12" s="11" t="s">
        <v>90</v>
      </c>
      <c r="D12" s="11" t="s">
        <v>91</v>
      </c>
      <c r="E12" s="11" t="s">
        <v>92</v>
      </c>
      <c r="F12" s="11"/>
      <c r="G12" s="20" t="s">
        <v>93</v>
      </c>
      <c r="H12" s="14"/>
    </row>
    <row r="13" customFormat="false" ht="15" hidden="false" customHeight="false" outlineLevel="0" collapsed="false">
      <c r="A13" s="12" t="s">
        <v>112</v>
      </c>
      <c r="B13" s="11" t="s">
        <v>113</v>
      </c>
      <c r="C13" s="11" t="s">
        <v>90</v>
      </c>
      <c r="D13" s="11" t="s">
        <v>91</v>
      </c>
      <c r="E13" s="11" t="s">
        <v>92</v>
      </c>
      <c r="F13" s="11"/>
      <c r="G13" s="20" t="s">
        <v>93</v>
      </c>
      <c r="H13" s="14"/>
    </row>
    <row r="14" customFormat="false" ht="15" hidden="false" customHeight="false" outlineLevel="0" collapsed="false">
      <c r="A14" s="12" t="s">
        <v>114</v>
      </c>
      <c r="B14" s="11" t="s">
        <v>114</v>
      </c>
      <c r="C14" s="11" t="s">
        <v>90</v>
      </c>
      <c r="D14" s="11" t="s">
        <v>91</v>
      </c>
      <c r="E14" s="11" t="s">
        <v>92</v>
      </c>
      <c r="F14" s="11"/>
      <c r="G14" s="20" t="s">
        <v>93</v>
      </c>
      <c r="H14" s="14"/>
    </row>
    <row r="15" customFormat="false" ht="15" hidden="false" customHeight="false" outlineLevel="0" collapsed="false">
      <c r="A15" s="12" t="s">
        <v>115</v>
      </c>
      <c r="B15" s="11" t="s">
        <v>115</v>
      </c>
      <c r="C15" s="11" t="s">
        <v>90</v>
      </c>
      <c r="D15" s="11" t="s">
        <v>91</v>
      </c>
      <c r="E15" s="11" t="s">
        <v>92</v>
      </c>
      <c r="F15" s="11"/>
      <c r="G15" s="20" t="s">
        <v>93</v>
      </c>
      <c r="H15" s="14" t="s">
        <v>116</v>
      </c>
    </row>
    <row r="16" customFormat="false" ht="15" hidden="false" customHeight="false" outlineLevel="0" collapsed="false">
      <c r="A16" s="12" t="s">
        <v>117</v>
      </c>
      <c r="B16" s="11" t="s">
        <v>118</v>
      </c>
      <c r="C16" s="11" t="s">
        <v>90</v>
      </c>
      <c r="D16" s="11" t="s">
        <v>91</v>
      </c>
      <c r="E16" s="11" t="s">
        <v>92</v>
      </c>
      <c r="F16" s="11"/>
      <c r="G16" s="20" t="s">
        <v>93</v>
      </c>
      <c r="H16" s="14"/>
    </row>
    <row r="17" customFormat="false" ht="15" hidden="false" customHeight="false" outlineLevel="0" collapsed="false">
      <c r="A17" s="12" t="s">
        <v>119</v>
      </c>
      <c r="B17" s="11" t="s">
        <v>119</v>
      </c>
      <c r="C17" s="11" t="s">
        <v>90</v>
      </c>
      <c r="D17" s="11" t="s">
        <v>91</v>
      </c>
      <c r="E17" s="11" t="s">
        <v>92</v>
      </c>
      <c r="F17" s="11"/>
      <c r="G17" s="20" t="s">
        <v>93</v>
      </c>
      <c r="H17" s="14" t="s">
        <v>120</v>
      </c>
    </row>
    <row r="18" customFormat="false" ht="15" hidden="false" customHeight="false" outlineLevel="0" collapsed="false">
      <c r="A18" s="12" t="s">
        <v>121</v>
      </c>
      <c r="B18" s="11" t="s">
        <v>121</v>
      </c>
      <c r="C18" s="11" t="s">
        <v>90</v>
      </c>
      <c r="D18" s="11" t="s">
        <v>91</v>
      </c>
      <c r="E18" s="11" t="s">
        <v>92</v>
      </c>
      <c r="F18" s="11"/>
      <c r="G18" s="20" t="s">
        <v>93</v>
      </c>
      <c r="H18" s="14" t="s">
        <v>120</v>
      </c>
    </row>
    <row r="19" customFormat="false" ht="23.85" hidden="false" customHeight="false" outlineLevel="0" collapsed="false">
      <c r="A19" s="12" t="s">
        <v>122</v>
      </c>
      <c r="B19" s="11" t="s">
        <v>122</v>
      </c>
      <c r="C19" s="11" t="s">
        <v>90</v>
      </c>
      <c r="D19" s="11" t="s">
        <v>91</v>
      </c>
      <c r="E19" s="11" t="s">
        <v>92</v>
      </c>
      <c r="F19" s="11"/>
      <c r="G19" s="21" t="s">
        <v>123</v>
      </c>
      <c r="H19" s="14" t="s">
        <v>124</v>
      </c>
    </row>
    <row r="20" customFormat="false" ht="23.85" hidden="false" customHeight="false" outlineLevel="0" collapsed="false">
      <c r="A20" s="12" t="s">
        <v>125</v>
      </c>
      <c r="B20" s="11" t="s">
        <v>125</v>
      </c>
      <c r="C20" s="11" t="s">
        <v>90</v>
      </c>
      <c r="D20" s="11" t="s">
        <v>91</v>
      </c>
      <c r="E20" s="11" t="s">
        <v>92</v>
      </c>
      <c r="F20" s="11"/>
      <c r="G20" s="21" t="s">
        <v>123</v>
      </c>
      <c r="H20" s="14" t="s">
        <v>124</v>
      </c>
    </row>
    <row r="21" customFormat="false" ht="23.85" hidden="false" customHeight="false" outlineLevel="0" collapsed="false">
      <c r="A21" s="12" t="s">
        <v>126</v>
      </c>
      <c r="B21" s="11" t="s">
        <v>126</v>
      </c>
      <c r="C21" s="11" t="s">
        <v>90</v>
      </c>
      <c r="D21" s="11" t="s">
        <v>91</v>
      </c>
      <c r="E21" s="11" t="s">
        <v>92</v>
      </c>
      <c r="F21" s="11"/>
      <c r="G21" s="21" t="s">
        <v>123</v>
      </c>
      <c r="H21" s="14" t="s">
        <v>124</v>
      </c>
    </row>
    <row r="22" customFormat="false" ht="23.85" hidden="false" customHeight="false" outlineLevel="0" collapsed="false">
      <c r="A22" s="12" t="s">
        <v>127</v>
      </c>
      <c r="B22" s="11" t="s">
        <v>127</v>
      </c>
      <c r="C22" s="11" t="s">
        <v>90</v>
      </c>
      <c r="D22" s="11" t="s">
        <v>91</v>
      </c>
      <c r="E22" s="11" t="s">
        <v>92</v>
      </c>
      <c r="F22" s="11"/>
      <c r="G22" s="21" t="s">
        <v>123</v>
      </c>
      <c r="H22" s="14" t="s">
        <v>128</v>
      </c>
    </row>
    <row r="23" customFormat="false" ht="15" hidden="false" customHeight="false" outlineLevel="0" collapsed="false">
      <c r="A23" s="12" t="s">
        <v>129</v>
      </c>
      <c r="B23" s="11" t="s">
        <v>130</v>
      </c>
      <c r="C23" s="11" t="s">
        <v>90</v>
      </c>
      <c r="D23" s="11" t="s">
        <v>91</v>
      </c>
      <c r="E23" s="11" t="s">
        <v>92</v>
      </c>
      <c r="F23" s="11"/>
      <c r="G23" s="21" t="s">
        <v>123</v>
      </c>
      <c r="H23" s="14" t="s">
        <v>131</v>
      </c>
    </row>
    <row r="24" customFormat="false" ht="15" hidden="false" customHeight="false" outlineLevel="0" collapsed="false">
      <c r="A24" s="12" t="s">
        <v>132</v>
      </c>
      <c r="B24" s="11" t="s">
        <v>133</v>
      </c>
      <c r="C24" s="11" t="s">
        <v>90</v>
      </c>
      <c r="D24" s="11" t="s">
        <v>91</v>
      </c>
      <c r="E24" s="11" t="s">
        <v>92</v>
      </c>
      <c r="F24" s="11"/>
      <c r="G24" s="21" t="s">
        <v>123</v>
      </c>
      <c r="H24" s="14" t="s">
        <v>134</v>
      </c>
    </row>
    <row r="25" customFormat="false" ht="15" hidden="false" customHeight="false" outlineLevel="0" collapsed="false">
      <c r="A25" s="12" t="s">
        <v>135</v>
      </c>
      <c r="B25" s="11" t="s">
        <v>136</v>
      </c>
      <c r="C25" s="11" t="s">
        <v>90</v>
      </c>
      <c r="D25" s="11" t="s">
        <v>91</v>
      </c>
      <c r="E25" s="11" t="s">
        <v>92</v>
      </c>
      <c r="F25" s="11"/>
      <c r="G25" s="21" t="s">
        <v>123</v>
      </c>
      <c r="H25" s="14" t="s">
        <v>137</v>
      </c>
    </row>
    <row r="26" customFormat="false" ht="15" hidden="false" customHeight="false" outlineLevel="0" collapsed="false">
      <c r="A26" s="12" t="s">
        <v>138</v>
      </c>
      <c r="B26" s="11" t="s">
        <v>139</v>
      </c>
      <c r="C26" s="11" t="s">
        <v>90</v>
      </c>
      <c r="D26" s="11" t="s">
        <v>91</v>
      </c>
      <c r="E26" s="11" t="s">
        <v>92</v>
      </c>
      <c r="F26" s="11"/>
      <c r="G26" s="21" t="s">
        <v>123</v>
      </c>
      <c r="H26" s="14" t="s">
        <v>140</v>
      </c>
    </row>
    <row r="27" customFormat="false" ht="15" hidden="false" customHeight="false" outlineLevel="0" collapsed="false">
      <c r="A27" s="12" t="s">
        <v>141</v>
      </c>
      <c r="B27" s="11" t="s">
        <v>142</v>
      </c>
      <c r="C27" s="11" t="s">
        <v>90</v>
      </c>
      <c r="D27" s="11" t="s">
        <v>91</v>
      </c>
      <c r="E27" s="11" t="s">
        <v>92</v>
      </c>
      <c r="F27" s="11"/>
      <c r="G27" s="21" t="s">
        <v>123</v>
      </c>
      <c r="H27" s="14" t="s">
        <v>140</v>
      </c>
    </row>
    <row r="28" customFormat="false" ht="15" hidden="false" customHeight="false" outlineLevel="0" collapsed="false">
      <c r="A28" s="12" t="s">
        <v>143</v>
      </c>
      <c r="B28" s="11" t="s">
        <v>143</v>
      </c>
      <c r="C28" s="11" t="s">
        <v>90</v>
      </c>
      <c r="D28" s="11" t="s">
        <v>91</v>
      </c>
      <c r="E28" s="11" t="s">
        <v>92</v>
      </c>
      <c r="F28" s="11"/>
      <c r="G28" s="21" t="s">
        <v>123</v>
      </c>
      <c r="H28" s="14" t="s">
        <v>144</v>
      </c>
    </row>
    <row r="29" customFormat="false" ht="15" hidden="false" customHeight="false" outlineLevel="0" collapsed="false">
      <c r="A29" s="12" t="s">
        <v>145</v>
      </c>
      <c r="B29" s="11" t="s">
        <v>145</v>
      </c>
      <c r="C29" s="11" t="s">
        <v>90</v>
      </c>
      <c r="D29" s="11" t="s">
        <v>91</v>
      </c>
      <c r="E29" s="11" t="s">
        <v>92</v>
      </c>
      <c r="F29" s="11"/>
      <c r="G29" s="21" t="s">
        <v>123</v>
      </c>
      <c r="H29" s="14" t="s">
        <v>146</v>
      </c>
    </row>
    <row r="30" customFormat="false" ht="15" hidden="false" customHeight="false" outlineLevel="0" collapsed="false">
      <c r="A30" s="12" t="s">
        <v>147</v>
      </c>
      <c r="B30" s="11" t="s">
        <v>147</v>
      </c>
      <c r="C30" s="11" t="s">
        <v>90</v>
      </c>
      <c r="D30" s="11" t="s">
        <v>91</v>
      </c>
      <c r="E30" s="11" t="s">
        <v>92</v>
      </c>
      <c r="F30" s="11"/>
      <c r="G30" s="21" t="s">
        <v>123</v>
      </c>
      <c r="H30" s="14" t="s">
        <v>148</v>
      </c>
    </row>
    <row r="31" customFormat="false" ht="15" hidden="false" customHeight="false" outlineLevel="0" collapsed="false">
      <c r="A31" s="12" t="s">
        <v>149</v>
      </c>
      <c r="B31" s="11" t="s">
        <v>149</v>
      </c>
      <c r="C31" s="11" t="s">
        <v>90</v>
      </c>
      <c r="D31" s="11" t="s">
        <v>91</v>
      </c>
      <c r="E31" s="11" t="s">
        <v>92</v>
      </c>
      <c r="F31" s="11"/>
      <c r="G31" s="21" t="s">
        <v>123</v>
      </c>
      <c r="H31" s="14" t="s">
        <v>150</v>
      </c>
    </row>
    <row r="32" customFormat="false" ht="35.05" hidden="false" customHeight="false" outlineLevel="0" collapsed="false">
      <c r="A32" s="12" t="s">
        <v>151</v>
      </c>
      <c r="B32" s="11" t="s">
        <v>151</v>
      </c>
      <c r="C32" s="11" t="s">
        <v>90</v>
      </c>
      <c r="D32" s="11" t="s">
        <v>91</v>
      </c>
      <c r="E32" s="11" t="s">
        <v>152</v>
      </c>
      <c r="F32" s="11"/>
      <c r="G32" s="21" t="s">
        <v>123</v>
      </c>
      <c r="H32" s="14" t="s">
        <v>153</v>
      </c>
    </row>
    <row r="33" customFormat="false" ht="23.85" hidden="false" customHeight="false" outlineLevel="0" collapsed="false">
      <c r="A33" s="12" t="s">
        <v>154</v>
      </c>
      <c r="B33" s="11" t="s">
        <v>155</v>
      </c>
      <c r="C33" s="11" t="s">
        <v>156</v>
      </c>
      <c r="D33" s="11" t="s">
        <v>157</v>
      </c>
      <c r="E33" s="11" t="s">
        <v>152</v>
      </c>
      <c r="F33" s="11"/>
      <c r="G33" s="22" t="s">
        <v>158</v>
      </c>
      <c r="H33" s="14" t="s">
        <v>159</v>
      </c>
    </row>
    <row r="35" customFormat="false" ht="15" hidden="false" customHeight="false" outlineLevel="0" collapsed="false">
      <c r="A35" s="23" t="s">
        <v>160</v>
      </c>
    </row>
    <row r="36" customFormat="false" ht="15" hidden="false" customHeight="false" outlineLevel="0" collapsed="false">
      <c r="A36" s="12" t="s">
        <v>161</v>
      </c>
      <c r="B36" s="11" t="s">
        <v>162</v>
      </c>
      <c r="C36" s="11" t="s">
        <v>163</v>
      </c>
      <c r="D36" s="11" t="s">
        <v>91</v>
      </c>
      <c r="E36" s="11" t="s">
        <v>92</v>
      </c>
      <c r="F36" s="11" t="s">
        <v>164</v>
      </c>
      <c r="G36" s="21" t="s">
        <v>123</v>
      </c>
      <c r="H36" s="14" t="s">
        <v>165</v>
      </c>
    </row>
    <row r="37" customFormat="false" ht="15" hidden="false" customHeight="false" outlineLevel="0" collapsed="false">
      <c r="A37" s="12" t="s">
        <v>166</v>
      </c>
      <c r="B37" s="11" t="s">
        <v>167</v>
      </c>
      <c r="C37" s="11" t="s">
        <v>163</v>
      </c>
      <c r="D37" s="11" t="s">
        <v>91</v>
      </c>
      <c r="E37" s="11" t="s">
        <v>92</v>
      </c>
      <c r="F37" s="11" t="s">
        <v>168</v>
      </c>
      <c r="G37" s="21" t="s">
        <v>123</v>
      </c>
      <c r="H37" s="14" t="s">
        <v>169</v>
      </c>
    </row>
    <row r="38" customFormat="false" ht="15" hidden="false" customHeight="false" outlineLevel="0" collapsed="false">
      <c r="A38" s="12" t="s">
        <v>170</v>
      </c>
      <c r="B38" s="11" t="s">
        <v>170</v>
      </c>
      <c r="C38" s="11" t="s">
        <v>171</v>
      </c>
      <c r="D38" s="11" t="s">
        <v>91</v>
      </c>
      <c r="E38" s="11" t="s">
        <v>92</v>
      </c>
      <c r="F38" s="11" t="s">
        <v>172</v>
      </c>
      <c r="G38" s="21" t="s">
        <v>123</v>
      </c>
      <c r="H38" s="14" t="s">
        <v>173</v>
      </c>
    </row>
    <row r="39" customFormat="false" ht="15" hidden="false" customHeight="false" outlineLevel="0" collapsed="false">
      <c r="A39" s="12" t="s">
        <v>174</v>
      </c>
      <c r="B39" s="11" t="s">
        <v>174</v>
      </c>
      <c r="C39" s="11" t="s">
        <v>171</v>
      </c>
      <c r="D39" s="11" t="s">
        <v>91</v>
      </c>
      <c r="E39" s="11" t="s">
        <v>92</v>
      </c>
      <c r="F39" s="11" t="s">
        <v>175</v>
      </c>
      <c r="G39" s="21" t="s">
        <v>123</v>
      </c>
      <c r="H39" s="14" t="s">
        <v>176</v>
      </c>
    </row>
    <row r="40" customFormat="false" ht="15" hidden="false" customHeight="false" outlineLevel="0" collapsed="false">
      <c r="A40" s="12" t="s">
        <v>177</v>
      </c>
      <c r="B40" s="11" t="s">
        <v>177</v>
      </c>
      <c r="C40" s="11" t="s">
        <v>171</v>
      </c>
      <c r="D40" s="11" t="s">
        <v>91</v>
      </c>
      <c r="E40" s="11" t="s">
        <v>92</v>
      </c>
      <c r="F40" s="11" t="s">
        <v>178</v>
      </c>
      <c r="G40" s="21" t="s">
        <v>123</v>
      </c>
      <c r="H40" s="14" t="s">
        <v>179</v>
      </c>
    </row>
    <row r="41" customFormat="false" ht="15" hidden="false" customHeight="false" outlineLevel="0" collapsed="false">
      <c r="A41" s="12" t="s">
        <v>180</v>
      </c>
      <c r="B41" s="11" t="s">
        <v>180</v>
      </c>
      <c r="C41" s="11" t="s">
        <v>171</v>
      </c>
      <c r="D41" s="11" t="s">
        <v>91</v>
      </c>
      <c r="E41" s="11" t="s">
        <v>92</v>
      </c>
      <c r="F41" s="11" t="s">
        <v>181</v>
      </c>
      <c r="G41" s="21" t="s">
        <v>123</v>
      </c>
      <c r="H41" s="14" t="s">
        <v>182</v>
      </c>
    </row>
    <row r="42" customFormat="false" ht="15" hidden="false" customHeight="false" outlineLevel="0" collapsed="false">
      <c r="A42" s="12" t="s">
        <v>183</v>
      </c>
      <c r="B42" s="11" t="s">
        <v>183</v>
      </c>
      <c r="C42" s="11" t="s">
        <v>171</v>
      </c>
      <c r="D42" s="11" t="s">
        <v>91</v>
      </c>
      <c r="E42" s="11" t="s">
        <v>92</v>
      </c>
      <c r="F42" s="11" t="s">
        <v>184</v>
      </c>
      <c r="G42" s="21" t="s">
        <v>123</v>
      </c>
      <c r="H42" s="14" t="s">
        <v>185</v>
      </c>
    </row>
    <row r="44" customFormat="false" ht="15" hidden="false" customHeight="false" outlineLevel="0" collapsed="false">
      <c r="A44" s="23" t="s">
        <v>186</v>
      </c>
    </row>
    <row r="45" customFormat="false" ht="15" hidden="false" customHeight="false" outlineLevel="0" collapsed="false">
      <c r="A45" s="12" t="s">
        <v>187</v>
      </c>
      <c r="B45" s="11" t="s">
        <v>187</v>
      </c>
      <c r="C45" s="11" t="s">
        <v>171</v>
      </c>
      <c r="D45" s="11" t="s">
        <v>91</v>
      </c>
      <c r="E45" s="11" t="s">
        <v>92</v>
      </c>
      <c r="F45" s="11" t="s">
        <v>188</v>
      </c>
      <c r="G45" s="21" t="s">
        <v>123</v>
      </c>
      <c r="H45" s="11" t="s">
        <v>189</v>
      </c>
    </row>
    <row r="46" customFormat="false" ht="15" hidden="false" customHeight="false" outlineLevel="0" collapsed="false">
      <c r="A46" s="12" t="s">
        <v>190</v>
      </c>
      <c r="B46" s="11" t="s">
        <v>190</v>
      </c>
      <c r="C46" s="11" t="s">
        <v>171</v>
      </c>
      <c r="D46" s="11" t="s">
        <v>91</v>
      </c>
      <c r="E46" s="11" t="s">
        <v>92</v>
      </c>
      <c r="F46" s="11" t="s">
        <v>191</v>
      </c>
      <c r="G46" s="21" t="s">
        <v>123</v>
      </c>
      <c r="H46" s="11" t="s">
        <v>189</v>
      </c>
    </row>
    <row r="47" customFormat="false" ht="15" hidden="false" customHeight="false" outlineLevel="0" collapsed="false">
      <c r="A47" s="12" t="s">
        <v>192</v>
      </c>
      <c r="B47" s="11" t="s">
        <v>192</v>
      </c>
      <c r="C47" s="11" t="s">
        <v>171</v>
      </c>
      <c r="D47" s="11" t="s">
        <v>91</v>
      </c>
      <c r="E47" s="11" t="s">
        <v>92</v>
      </c>
      <c r="F47" s="11" t="s">
        <v>193</v>
      </c>
      <c r="G47" s="21" t="s">
        <v>123</v>
      </c>
      <c r="H47" s="11" t="s">
        <v>189</v>
      </c>
    </row>
    <row r="48" customFormat="false" ht="15" hidden="false" customHeight="false" outlineLevel="0" collapsed="false">
      <c r="A48" s="12" t="s">
        <v>194</v>
      </c>
      <c r="B48" s="11" t="s">
        <v>194</v>
      </c>
      <c r="C48" s="11" t="s">
        <v>171</v>
      </c>
      <c r="D48" s="11" t="s">
        <v>91</v>
      </c>
      <c r="E48" s="11" t="s">
        <v>92</v>
      </c>
      <c r="F48" s="11" t="s">
        <v>195</v>
      </c>
      <c r="G48" s="21" t="s">
        <v>123</v>
      </c>
      <c r="H48" s="11" t="s">
        <v>189</v>
      </c>
    </row>
    <row r="49" customFormat="false" ht="15" hidden="false" customHeight="false" outlineLevel="0" collapsed="false">
      <c r="A49" s="12" t="s">
        <v>196</v>
      </c>
      <c r="B49" s="11" t="s">
        <v>196</v>
      </c>
      <c r="C49" s="11" t="s">
        <v>171</v>
      </c>
      <c r="D49" s="11" t="s">
        <v>91</v>
      </c>
      <c r="E49" s="11" t="s">
        <v>92</v>
      </c>
      <c r="F49" s="11" t="s">
        <v>197</v>
      </c>
      <c r="G49" s="21" t="s">
        <v>123</v>
      </c>
      <c r="H49" s="11" t="s">
        <v>189</v>
      </c>
    </row>
    <row r="50" customFormat="false" ht="15" hidden="false" customHeight="false" outlineLevel="0" collapsed="false">
      <c r="A50" s="12" t="s">
        <v>198</v>
      </c>
      <c r="B50" s="11" t="s">
        <v>198</v>
      </c>
      <c r="C50" s="11" t="s">
        <v>171</v>
      </c>
      <c r="D50" s="11" t="s">
        <v>91</v>
      </c>
      <c r="E50" s="11" t="s">
        <v>92</v>
      </c>
      <c r="F50" s="11" t="s">
        <v>199</v>
      </c>
      <c r="G50" s="21" t="s">
        <v>123</v>
      </c>
      <c r="H50" s="11" t="s">
        <v>189</v>
      </c>
    </row>
    <row r="51" customFormat="false" ht="15" hidden="false" customHeight="false" outlineLevel="0" collapsed="false">
      <c r="A51" s="12" t="s">
        <v>200</v>
      </c>
      <c r="B51" s="11" t="s">
        <v>200</v>
      </c>
      <c r="C51" s="11" t="s">
        <v>171</v>
      </c>
      <c r="D51" s="11" t="s">
        <v>91</v>
      </c>
      <c r="E51" s="11" t="s">
        <v>92</v>
      </c>
      <c r="F51" s="11" t="s">
        <v>201</v>
      </c>
      <c r="G51" s="21" t="s">
        <v>123</v>
      </c>
      <c r="H51" s="11" t="s">
        <v>189</v>
      </c>
    </row>
    <row r="52" customFormat="false" ht="15" hidden="false" customHeight="false" outlineLevel="0" collapsed="false">
      <c r="A52" s="12" t="s">
        <v>202</v>
      </c>
      <c r="B52" s="11" t="s">
        <v>202</v>
      </c>
      <c r="C52" s="11" t="s">
        <v>171</v>
      </c>
      <c r="D52" s="11" t="s">
        <v>91</v>
      </c>
      <c r="E52" s="11" t="s">
        <v>92</v>
      </c>
      <c r="F52" s="11" t="s">
        <v>203</v>
      </c>
      <c r="G52" s="21" t="s">
        <v>123</v>
      </c>
      <c r="H52" s="11" t="s">
        <v>189</v>
      </c>
    </row>
    <row r="54" customFormat="false" ht="15" hidden="false" customHeight="false" outlineLevel="0" collapsed="false">
      <c r="A54" s="23" t="s">
        <v>204</v>
      </c>
    </row>
    <row r="55" customFormat="false" ht="15" hidden="false" customHeight="false" outlineLevel="0" collapsed="false">
      <c r="A55" s="12" t="s">
        <v>205</v>
      </c>
      <c r="B55" s="11" t="s">
        <v>205</v>
      </c>
      <c r="C55" s="11" t="s">
        <v>171</v>
      </c>
      <c r="D55" s="11" t="s">
        <v>91</v>
      </c>
      <c r="E55" s="11" t="s">
        <v>92</v>
      </c>
      <c r="F55" s="11" t="s">
        <v>206</v>
      </c>
      <c r="G55" s="21" t="s">
        <v>123</v>
      </c>
      <c r="H55" s="11" t="s">
        <v>207</v>
      </c>
    </row>
    <row r="56" customFormat="false" ht="15" hidden="false" customHeight="false" outlineLevel="0" collapsed="false">
      <c r="A56" s="12" t="s">
        <v>208</v>
      </c>
      <c r="B56" s="11" t="s">
        <v>208</v>
      </c>
      <c r="C56" s="11" t="s">
        <v>171</v>
      </c>
      <c r="D56" s="11" t="s">
        <v>91</v>
      </c>
      <c r="E56" s="11" t="s">
        <v>92</v>
      </c>
      <c r="F56" s="11" t="s">
        <v>209</v>
      </c>
      <c r="G56" s="21" t="s">
        <v>123</v>
      </c>
      <c r="H56" s="11" t="s">
        <v>207</v>
      </c>
    </row>
    <row r="57" customFormat="false" ht="15" hidden="false" customHeight="false" outlineLevel="0" collapsed="false">
      <c r="A57" s="12" t="s">
        <v>210</v>
      </c>
      <c r="B57" s="11" t="s">
        <v>210</v>
      </c>
      <c r="C57" s="11" t="s">
        <v>171</v>
      </c>
      <c r="D57" s="11" t="s">
        <v>91</v>
      </c>
      <c r="E57" s="11" t="s">
        <v>92</v>
      </c>
      <c r="F57" s="11" t="s">
        <v>211</v>
      </c>
      <c r="G57" s="21" t="s">
        <v>123</v>
      </c>
      <c r="H57" s="11" t="s">
        <v>207</v>
      </c>
    </row>
    <row r="58" customFormat="false" ht="15" hidden="false" customHeight="false" outlineLevel="0" collapsed="false">
      <c r="A58" s="12" t="s">
        <v>212</v>
      </c>
      <c r="B58" s="11" t="s">
        <v>212</v>
      </c>
      <c r="C58" s="11" t="s">
        <v>171</v>
      </c>
      <c r="D58" s="11" t="s">
        <v>91</v>
      </c>
      <c r="E58" s="11" t="s">
        <v>92</v>
      </c>
      <c r="F58" s="11" t="s">
        <v>213</v>
      </c>
      <c r="G58" s="21" t="s">
        <v>123</v>
      </c>
      <c r="H58" s="11" t="s">
        <v>207</v>
      </c>
    </row>
    <row r="59" customFormat="false" ht="15" hidden="false" customHeight="false" outlineLevel="0" collapsed="false">
      <c r="A59" s="12" t="s">
        <v>214</v>
      </c>
      <c r="B59" s="11" t="s">
        <v>214</v>
      </c>
      <c r="C59" s="11" t="s">
        <v>171</v>
      </c>
      <c r="D59" s="11" t="s">
        <v>91</v>
      </c>
      <c r="E59" s="11" t="s">
        <v>92</v>
      </c>
      <c r="F59" s="11" t="s">
        <v>215</v>
      </c>
      <c r="G59" s="21" t="s">
        <v>123</v>
      </c>
      <c r="H59" s="11" t="s">
        <v>207</v>
      </c>
    </row>
    <row r="60" customFormat="false" ht="15" hidden="false" customHeight="false" outlineLevel="0" collapsed="false">
      <c r="A60" s="12" t="s">
        <v>216</v>
      </c>
      <c r="B60" s="11" t="s">
        <v>216</v>
      </c>
      <c r="C60" s="11" t="s">
        <v>171</v>
      </c>
      <c r="D60" s="11" t="s">
        <v>91</v>
      </c>
      <c r="E60" s="11" t="s">
        <v>92</v>
      </c>
      <c r="F60" s="11" t="s">
        <v>217</v>
      </c>
      <c r="G60" s="21" t="s">
        <v>123</v>
      </c>
      <c r="H60" s="11" t="s">
        <v>207</v>
      </c>
    </row>
    <row r="61" customFormat="false" ht="15" hidden="false" customHeight="false" outlineLevel="0" collapsed="false">
      <c r="A61" s="12" t="s">
        <v>218</v>
      </c>
      <c r="B61" s="11" t="s">
        <v>218</v>
      </c>
      <c r="C61" s="11" t="s">
        <v>171</v>
      </c>
      <c r="D61" s="11" t="s">
        <v>91</v>
      </c>
      <c r="E61" s="11" t="s">
        <v>92</v>
      </c>
      <c r="F61" s="11" t="s">
        <v>219</v>
      </c>
      <c r="G61" s="21" t="s">
        <v>123</v>
      </c>
      <c r="H61" s="11" t="s">
        <v>207</v>
      </c>
    </row>
    <row r="62" customFormat="false" ht="15" hidden="false" customHeight="false" outlineLevel="0" collapsed="false">
      <c r="A62" s="12" t="s">
        <v>220</v>
      </c>
      <c r="B62" s="11" t="s">
        <v>220</v>
      </c>
      <c r="C62" s="11" t="s">
        <v>171</v>
      </c>
      <c r="D62" s="11" t="s">
        <v>91</v>
      </c>
      <c r="E62" s="11" t="s">
        <v>92</v>
      </c>
      <c r="F62" s="11" t="s">
        <v>221</v>
      </c>
      <c r="G62" s="21" t="s">
        <v>123</v>
      </c>
      <c r="H62" s="11" t="s">
        <v>222</v>
      </c>
    </row>
    <row r="65" customFormat="false" ht="15" hidden="false" customHeight="true" outlineLevel="0" collapsed="false">
      <c r="A65" s="17" t="s">
        <v>223</v>
      </c>
      <c r="B65" s="17"/>
      <c r="C65" s="17"/>
      <c r="D65" s="17"/>
      <c r="E65" s="17"/>
      <c r="F65" s="17"/>
      <c r="G65" s="17"/>
      <c r="H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</row>
  </sheetData>
  <mergeCells count="1">
    <mergeCell ref="A65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2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15" hidden="false" customHeight="false" outlineLevel="0" collapsed="false">
      <c r="A4" s="5" t="s">
        <v>226</v>
      </c>
    </row>
    <row r="5" customFormat="false" ht="15" hidden="false" customHeight="false" outlineLevel="0" collapsed="false">
      <c r="A5" s="3" t="s">
        <v>227</v>
      </c>
      <c r="B5" s="24" t="n">
        <v>0.78</v>
      </c>
      <c r="C5" s="2" t="s">
        <v>228</v>
      </c>
    </row>
    <row r="7" customFormat="false" ht="30" hidden="false" customHeight="true" outlineLevel="0" collapsed="false">
      <c r="A7" s="10" t="s">
        <v>229</v>
      </c>
      <c r="B7" s="10" t="s">
        <v>230</v>
      </c>
      <c r="C7" s="10" t="s">
        <v>231</v>
      </c>
      <c r="D7" s="10" t="s">
        <v>44</v>
      </c>
      <c r="E7" s="10" t="s">
        <v>232</v>
      </c>
      <c r="F7" s="10" t="s">
        <v>233</v>
      </c>
      <c r="G7" s="10" t="s">
        <v>44</v>
      </c>
      <c r="H7" s="10" t="s">
        <v>234</v>
      </c>
      <c r="I7" s="10" t="s">
        <v>47</v>
      </c>
    </row>
    <row r="8" customFormat="false" ht="23.85" hidden="false" customHeight="false" outlineLevel="0" collapsed="false">
      <c r="A8" s="12" t="s">
        <v>235</v>
      </c>
      <c r="B8" s="11" t="s">
        <v>161</v>
      </c>
      <c r="C8" s="25" t="n">
        <v>1</v>
      </c>
      <c r="D8" s="11" t="s">
        <v>91</v>
      </c>
      <c r="E8" s="11" t="s">
        <v>88</v>
      </c>
      <c r="F8" s="26" t="n">
        <f aca="false">1/$B$5</f>
        <v>1.28205128205128</v>
      </c>
      <c r="G8" s="11" t="s">
        <v>91</v>
      </c>
      <c r="H8" s="20" t="n">
        <v>0</v>
      </c>
      <c r="I8" s="14" t="s">
        <v>236</v>
      </c>
    </row>
    <row r="9" customFormat="false" ht="15" hidden="false" customHeight="false" outlineLevel="0" collapsed="false">
      <c r="A9" s="27"/>
      <c r="B9" s="27"/>
      <c r="C9" s="27"/>
      <c r="D9" s="27"/>
      <c r="E9" s="28" t="s">
        <v>237</v>
      </c>
      <c r="F9" s="29" t="n">
        <f aca="false">SUM(F8:F8)</f>
        <v>1.28205128205128</v>
      </c>
      <c r="G9" s="27"/>
      <c r="H9" s="27"/>
      <c r="I9" s="27"/>
    </row>
    <row r="11" customFormat="false" ht="23.85" hidden="false" customHeight="false" outlineLevel="0" collapsed="false">
      <c r="A11" s="12" t="s">
        <v>238</v>
      </c>
      <c r="B11" s="11" t="s">
        <v>166</v>
      </c>
      <c r="C11" s="25" t="n">
        <v>1</v>
      </c>
      <c r="D11" s="11" t="s">
        <v>91</v>
      </c>
      <c r="E11" s="11" t="s">
        <v>94</v>
      </c>
      <c r="F11" s="26" t="n">
        <f aca="false">1/$B$5</f>
        <v>1.28205128205128</v>
      </c>
      <c r="G11" s="11" t="s">
        <v>91</v>
      </c>
      <c r="H11" s="20" t="n">
        <v>0</v>
      </c>
      <c r="I11" s="14" t="s">
        <v>239</v>
      </c>
    </row>
    <row r="12" customFormat="false" ht="15" hidden="false" customHeight="false" outlineLevel="0" collapsed="false">
      <c r="A12" s="27"/>
      <c r="B12" s="27"/>
      <c r="C12" s="27"/>
      <c r="D12" s="27"/>
      <c r="E12" s="28" t="s">
        <v>237</v>
      </c>
      <c r="F12" s="29" t="n">
        <f aca="false">SUM(F11:F11)</f>
        <v>1.28205128205128</v>
      </c>
      <c r="G12" s="27"/>
      <c r="H12" s="27"/>
      <c r="I12" s="27"/>
    </row>
    <row r="14" customFormat="false" ht="15" hidden="false" customHeight="false" outlineLevel="0" collapsed="false">
      <c r="A14" s="12" t="s">
        <v>240</v>
      </c>
      <c r="B14" s="11" t="s">
        <v>170</v>
      </c>
      <c r="C14" s="30" t="n">
        <f aca="false">SUM(F14:F16)</f>
        <v>11.13</v>
      </c>
      <c r="D14" s="11" t="s">
        <v>91</v>
      </c>
      <c r="E14" s="11" t="s">
        <v>129</v>
      </c>
      <c r="F14" s="31" t="n">
        <v>1</v>
      </c>
      <c r="G14" s="11" t="s">
        <v>91</v>
      </c>
      <c r="H14" s="20" t="n">
        <v>0</v>
      </c>
      <c r="I14" s="14"/>
    </row>
    <row r="15" customFormat="false" ht="15" hidden="false" customHeight="false" outlineLevel="0" collapsed="false">
      <c r="A15" s="32"/>
      <c r="B15" s="32"/>
      <c r="C15" s="32"/>
      <c r="D15" s="32"/>
      <c r="E15" s="11" t="s">
        <v>132</v>
      </c>
      <c r="F15" s="31" t="n">
        <v>0.13</v>
      </c>
      <c r="G15" s="11" t="s">
        <v>91</v>
      </c>
      <c r="H15" s="20" t="n">
        <v>0</v>
      </c>
      <c r="I15" s="14"/>
    </row>
    <row r="16" customFormat="false" ht="23.85" hidden="false" customHeight="false" outlineLevel="0" collapsed="false">
      <c r="A16" s="32"/>
      <c r="B16" s="32"/>
      <c r="C16" s="32"/>
      <c r="D16" s="32"/>
      <c r="E16" s="11" t="s">
        <v>151</v>
      </c>
      <c r="F16" s="31" t="n">
        <v>10</v>
      </c>
      <c r="G16" s="11" t="s">
        <v>91</v>
      </c>
      <c r="H16" s="20" t="n">
        <v>0</v>
      </c>
      <c r="I16" s="14" t="s">
        <v>241</v>
      </c>
    </row>
    <row r="17" customFormat="false" ht="15" hidden="false" customHeight="false" outlineLevel="0" collapsed="false">
      <c r="A17" s="27"/>
      <c r="B17" s="27"/>
      <c r="C17" s="27"/>
      <c r="D17" s="27"/>
      <c r="E17" s="28" t="s">
        <v>237</v>
      </c>
      <c r="F17" s="29" t="n">
        <f aca="false">SUM(F14:F16)</f>
        <v>11.13</v>
      </c>
      <c r="G17" s="27"/>
      <c r="H17" s="27"/>
      <c r="I17" s="27"/>
    </row>
    <row r="19" customFormat="false" ht="15" hidden="false" customHeight="false" outlineLevel="0" collapsed="false">
      <c r="A19" s="12" t="s">
        <v>242</v>
      </c>
      <c r="B19" s="11" t="s">
        <v>174</v>
      </c>
      <c r="C19" s="30" t="n">
        <f aca="false">SUM(F19:F21)</f>
        <v>3.3</v>
      </c>
      <c r="D19" s="11" t="s">
        <v>91</v>
      </c>
      <c r="E19" s="11" t="s">
        <v>135</v>
      </c>
      <c r="F19" s="31" t="n">
        <v>0.2</v>
      </c>
      <c r="G19" s="11" t="s">
        <v>91</v>
      </c>
      <c r="H19" s="20" t="n">
        <v>0</v>
      </c>
      <c r="I19" s="14"/>
    </row>
    <row r="20" customFormat="false" ht="15" hidden="false" customHeight="false" outlineLevel="0" collapsed="false">
      <c r="A20" s="32"/>
      <c r="B20" s="32"/>
      <c r="C20" s="32"/>
      <c r="D20" s="32"/>
      <c r="E20" s="11" t="s">
        <v>132</v>
      </c>
      <c r="F20" s="31" t="n">
        <v>0.1</v>
      </c>
      <c r="G20" s="11" t="s">
        <v>91</v>
      </c>
      <c r="H20" s="20" t="n">
        <v>0</v>
      </c>
      <c r="I20" s="14"/>
    </row>
    <row r="21" customFormat="false" ht="23.85" hidden="false" customHeight="false" outlineLevel="0" collapsed="false">
      <c r="A21" s="32"/>
      <c r="B21" s="32"/>
      <c r="C21" s="32"/>
      <c r="D21" s="32"/>
      <c r="E21" s="11" t="s">
        <v>151</v>
      </c>
      <c r="F21" s="31" t="n">
        <v>3</v>
      </c>
      <c r="G21" s="11" t="s">
        <v>91</v>
      </c>
      <c r="H21" s="20" t="n">
        <v>0</v>
      </c>
      <c r="I21" s="14" t="s">
        <v>241</v>
      </c>
    </row>
    <row r="22" customFormat="false" ht="15" hidden="false" customHeight="false" outlineLevel="0" collapsed="false">
      <c r="A22" s="27"/>
      <c r="B22" s="27"/>
      <c r="C22" s="27"/>
      <c r="D22" s="27"/>
      <c r="E22" s="28" t="s">
        <v>237</v>
      </c>
      <c r="F22" s="29" t="n">
        <f aca="false">SUM(F19:F21)</f>
        <v>3.3</v>
      </c>
      <c r="G22" s="27"/>
      <c r="H22" s="27"/>
      <c r="I22" s="27"/>
    </row>
    <row r="24" customFormat="false" ht="23.85" hidden="false" customHeight="false" outlineLevel="0" collapsed="false">
      <c r="A24" s="12" t="s">
        <v>243</v>
      </c>
      <c r="B24" s="11" t="s">
        <v>177</v>
      </c>
      <c r="C24" s="25" t="n">
        <v>50</v>
      </c>
      <c r="D24" s="11" t="s">
        <v>91</v>
      </c>
      <c r="E24" s="11" t="s">
        <v>97</v>
      </c>
      <c r="F24" s="31" t="n">
        <v>50</v>
      </c>
      <c r="G24" s="11" t="s">
        <v>91</v>
      </c>
      <c r="H24" s="20" t="n">
        <v>1</v>
      </c>
      <c r="I24" s="14" t="s">
        <v>244</v>
      </c>
    </row>
    <row r="25" customFormat="false" ht="15" hidden="false" customHeight="false" outlineLevel="0" collapsed="false">
      <c r="A25" s="32"/>
      <c r="B25" s="32"/>
      <c r="C25" s="32"/>
      <c r="D25" s="32"/>
      <c r="E25" s="11" t="s">
        <v>109</v>
      </c>
      <c r="F25" s="31" t="n">
        <v>0.06</v>
      </c>
      <c r="G25" s="11" t="s">
        <v>91</v>
      </c>
      <c r="H25" s="20" t="n">
        <v>1</v>
      </c>
      <c r="I25" s="14" t="s">
        <v>245</v>
      </c>
    </row>
    <row r="26" customFormat="false" ht="15" hidden="false" customHeight="false" outlineLevel="0" collapsed="false">
      <c r="A26" s="27"/>
      <c r="B26" s="27"/>
      <c r="C26" s="27"/>
      <c r="D26" s="27"/>
      <c r="E26" s="28" t="s">
        <v>237</v>
      </c>
      <c r="F26" s="29" t="n">
        <f aca="false">SUM(F24:F25)</f>
        <v>50.06</v>
      </c>
      <c r="G26" s="27"/>
      <c r="H26" s="27"/>
      <c r="I26" s="27"/>
    </row>
    <row r="28" customFormat="false" ht="15" hidden="false" customHeight="false" outlineLevel="0" collapsed="false">
      <c r="A28" s="12" t="s">
        <v>246</v>
      </c>
      <c r="B28" s="11" t="s">
        <v>180</v>
      </c>
      <c r="C28" s="25" t="n">
        <v>51.1</v>
      </c>
      <c r="D28" s="11" t="s">
        <v>91</v>
      </c>
      <c r="E28" s="11" t="s">
        <v>97</v>
      </c>
      <c r="F28" s="31" t="n">
        <v>50</v>
      </c>
      <c r="G28" s="11" t="s">
        <v>91</v>
      </c>
      <c r="H28" s="20" t="n">
        <v>1</v>
      </c>
      <c r="I28" s="14"/>
    </row>
    <row r="29" customFormat="false" ht="15" hidden="false" customHeight="false" outlineLevel="0" collapsed="false">
      <c r="A29" s="32"/>
      <c r="B29" s="32"/>
      <c r="C29" s="32"/>
      <c r="D29" s="32"/>
      <c r="E29" s="11" t="s">
        <v>109</v>
      </c>
      <c r="F29" s="31" t="n">
        <v>0.06</v>
      </c>
      <c r="G29" s="11" t="s">
        <v>91</v>
      </c>
      <c r="H29" s="20" t="n">
        <v>1</v>
      </c>
      <c r="I29" s="14" t="s">
        <v>245</v>
      </c>
    </row>
    <row r="30" customFormat="false" ht="15" hidden="false" customHeight="false" outlineLevel="0" collapsed="false">
      <c r="A30" s="32"/>
      <c r="B30" s="32"/>
      <c r="C30" s="32"/>
      <c r="D30" s="32"/>
      <c r="E30" s="11" t="s">
        <v>170</v>
      </c>
      <c r="F30" s="31" t="n">
        <v>1.1</v>
      </c>
      <c r="G30" s="11" t="s">
        <v>91</v>
      </c>
      <c r="H30" s="20" t="n">
        <v>1</v>
      </c>
      <c r="I30" s="14" t="s">
        <v>247</v>
      </c>
    </row>
    <row r="31" customFormat="false" ht="15" hidden="false" customHeight="false" outlineLevel="0" collapsed="false">
      <c r="A31" s="27"/>
      <c r="B31" s="27"/>
      <c r="C31" s="27"/>
      <c r="D31" s="27"/>
      <c r="E31" s="28" t="s">
        <v>237</v>
      </c>
      <c r="F31" s="29" t="n">
        <f aca="false">SUM(F28:F30)</f>
        <v>51.16</v>
      </c>
      <c r="G31" s="27"/>
      <c r="H31" s="27"/>
      <c r="I31" s="27"/>
    </row>
    <row r="33" customFormat="false" ht="15" hidden="false" customHeight="false" outlineLevel="0" collapsed="false">
      <c r="A33" s="12" t="s">
        <v>248</v>
      </c>
      <c r="B33" s="11" t="s">
        <v>183</v>
      </c>
      <c r="C33" s="25" t="n">
        <v>50.25</v>
      </c>
      <c r="D33" s="11" t="s">
        <v>91</v>
      </c>
      <c r="E33" s="11" t="s">
        <v>97</v>
      </c>
      <c r="F33" s="31" t="n">
        <v>50</v>
      </c>
      <c r="G33" s="11" t="s">
        <v>91</v>
      </c>
      <c r="H33" s="20" t="n">
        <v>1</v>
      </c>
      <c r="I33" s="14"/>
    </row>
    <row r="34" customFormat="false" ht="15" hidden="false" customHeight="false" outlineLevel="0" collapsed="false">
      <c r="A34" s="32"/>
      <c r="B34" s="32"/>
      <c r="C34" s="32"/>
      <c r="D34" s="32"/>
      <c r="E34" s="11" t="s">
        <v>109</v>
      </c>
      <c r="F34" s="31" t="n">
        <v>0.06</v>
      </c>
      <c r="G34" s="11" t="s">
        <v>91</v>
      </c>
      <c r="H34" s="20" t="n">
        <v>1</v>
      </c>
      <c r="I34" s="14" t="s">
        <v>245</v>
      </c>
    </row>
    <row r="35" customFormat="false" ht="15" hidden="false" customHeight="false" outlineLevel="0" collapsed="false">
      <c r="A35" s="32"/>
      <c r="B35" s="32"/>
      <c r="C35" s="32"/>
      <c r="D35" s="32"/>
      <c r="E35" s="11" t="s">
        <v>174</v>
      </c>
      <c r="F35" s="31" t="n">
        <v>0.25</v>
      </c>
      <c r="G35" s="11" t="s">
        <v>91</v>
      </c>
      <c r="H35" s="20" t="n">
        <v>1</v>
      </c>
      <c r="I35" s="14" t="s">
        <v>249</v>
      </c>
    </row>
    <row r="36" customFormat="false" ht="15" hidden="false" customHeight="false" outlineLevel="0" collapsed="false">
      <c r="A36" s="27"/>
      <c r="B36" s="27"/>
      <c r="C36" s="27"/>
      <c r="D36" s="27"/>
      <c r="E36" s="28" t="s">
        <v>237</v>
      </c>
      <c r="F36" s="29" t="n">
        <f aca="false">SUM(F33:F35)</f>
        <v>50.31</v>
      </c>
      <c r="G36" s="27"/>
      <c r="H36" s="27"/>
      <c r="I36" s="27"/>
    </row>
    <row r="38" customFormat="false" ht="30" hidden="false" customHeight="true" outlineLevel="0" collapsed="false">
      <c r="A38" s="33" t="s">
        <v>250</v>
      </c>
      <c r="B38" s="33"/>
      <c r="C38" s="33"/>
      <c r="D38" s="33"/>
      <c r="E38" s="33"/>
      <c r="F38" s="33"/>
      <c r="G38" s="33"/>
      <c r="H38" s="33"/>
      <c r="I38" s="33"/>
    </row>
  </sheetData>
  <mergeCells count="1"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251</v>
      </c>
    </row>
    <row r="2" customFormat="false" ht="74.6" hidden="false" customHeight="false" outlineLevel="0" collapsed="false">
      <c r="A2" s="19" t="s">
        <v>252</v>
      </c>
    </row>
    <row r="4" customFormat="false" ht="30" hidden="false" customHeight="true" outlineLevel="0" collapsed="false">
      <c r="A4" s="10" t="s">
        <v>229</v>
      </c>
      <c r="B4" s="10" t="s">
        <v>230</v>
      </c>
      <c r="C4" s="10" t="s">
        <v>231</v>
      </c>
      <c r="D4" s="10" t="s">
        <v>44</v>
      </c>
      <c r="E4" s="10" t="s">
        <v>232</v>
      </c>
      <c r="F4" s="10" t="s">
        <v>233</v>
      </c>
      <c r="G4" s="10" t="s">
        <v>44</v>
      </c>
      <c r="H4" s="10" t="s">
        <v>234</v>
      </c>
      <c r="I4" s="10" t="s">
        <v>47</v>
      </c>
    </row>
    <row r="5" customFormat="false" ht="15" hidden="false" customHeight="false" outlineLevel="0" collapsed="false">
      <c r="A5" s="12" t="s">
        <v>253</v>
      </c>
      <c r="B5" s="11" t="s">
        <v>254</v>
      </c>
      <c r="C5" s="30" t="n">
        <f aca="false">SUM(F5:F8)</f>
        <v>114</v>
      </c>
      <c r="D5" s="11" t="s">
        <v>91</v>
      </c>
      <c r="E5" s="11" t="s">
        <v>161</v>
      </c>
      <c r="F5" s="31" t="n">
        <v>53</v>
      </c>
      <c r="G5" s="11" t="s">
        <v>91</v>
      </c>
      <c r="H5" s="20" t="n">
        <v>1</v>
      </c>
      <c r="I5" s="14"/>
    </row>
    <row r="6" customFormat="false" ht="15" hidden="false" customHeight="false" outlineLevel="0" collapsed="false">
      <c r="A6" s="32"/>
      <c r="B6" s="32"/>
      <c r="C6" s="32"/>
      <c r="D6" s="32"/>
      <c r="E6" s="11" t="s">
        <v>177</v>
      </c>
      <c r="F6" s="31" t="n">
        <v>11</v>
      </c>
      <c r="G6" s="11" t="s">
        <v>91</v>
      </c>
      <c r="H6" s="20" t="n">
        <v>1</v>
      </c>
      <c r="I6" s="14"/>
    </row>
    <row r="7" customFormat="false" ht="15" hidden="false" customHeight="false" outlineLevel="0" collapsed="false">
      <c r="A7" s="32"/>
      <c r="B7" s="32"/>
      <c r="C7" s="32"/>
      <c r="D7" s="32"/>
      <c r="E7" s="11" t="s">
        <v>103</v>
      </c>
      <c r="F7" s="31" t="n">
        <v>25</v>
      </c>
      <c r="G7" s="11" t="s">
        <v>91</v>
      </c>
      <c r="H7" s="20" t="n">
        <v>1</v>
      </c>
      <c r="I7" s="14"/>
    </row>
    <row r="8" customFormat="false" ht="15" hidden="false" customHeight="false" outlineLevel="0" collapsed="false">
      <c r="A8" s="32"/>
      <c r="B8" s="32"/>
      <c r="C8" s="32"/>
      <c r="D8" s="32"/>
      <c r="E8" s="11" t="s">
        <v>106</v>
      </c>
      <c r="F8" s="31" t="n">
        <v>25</v>
      </c>
      <c r="G8" s="11" t="s">
        <v>91</v>
      </c>
      <c r="H8" s="20" t="n">
        <v>1</v>
      </c>
      <c r="I8" s="14"/>
    </row>
    <row r="9" customFormat="false" ht="15" hidden="false" customHeight="false" outlineLevel="0" collapsed="false">
      <c r="A9" s="27"/>
      <c r="B9" s="27"/>
      <c r="C9" s="27"/>
      <c r="D9" s="27"/>
      <c r="E9" s="28" t="s">
        <v>255</v>
      </c>
      <c r="F9" s="29" t="n">
        <f aca="false">SUM(F5:F8)</f>
        <v>114</v>
      </c>
      <c r="G9" s="27"/>
      <c r="H9" s="27"/>
      <c r="I9" s="27"/>
    </row>
    <row r="11" customFormat="false" ht="15" hidden="false" customHeight="false" outlineLevel="0" collapsed="false">
      <c r="A11" s="12" t="s">
        <v>256</v>
      </c>
      <c r="B11" s="11" t="s">
        <v>257</v>
      </c>
      <c r="C11" s="30" t="n">
        <f aca="false">SUM(F11:F14)</f>
        <v>114</v>
      </c>
      <c r="D11" s="11" t="s">
        <v>91</v>
      </c>
      <c r="E11" s="11" t="s">
        <v>161</v>
      </c>
      <c r="F11" s="31" t="n">
        <v>53</v>
      </c>
      <c r="G11" s="11" t="s">
        <v>91</v>
      </c>
      <c r="H11" s="20" t="n">
        <v>1</v>
      </c>
      <c r="I11" s="14"/>
    </row>
    <row r="12" customFormat="false" ht="15" hidden="false" customHeight="false" outlineLevel="0" collapsed="false">
      <c r="A12" s="32"/>
      <c r="B12" s="32"/>
      <c r="C12" s="32"/>
      <c r="D12" s="32"/>
      <c r="E12" s="11" t="s">
        <v>177</v>
      </c>
      <c r="F12" s="31" t="n">
        <v>11</v>
      </c>
      <c r="G12" s="11" t="s">
        <v>91</v>
      </c>
      <c r="H12" s="20" t="n">
        <v>1</v>
      </c>
      <c r="I12" s="14"/>
    </row>
    <row r="13" customFormat="false" ht="15" hidden="false" customHeight="false" outlineLevel="0" collapsed="false">
      <c r="A13" s="32"/>
      <c r="B13" s="32"/>
      <c r="C13" s="32"/>
      <c r="D13" s="32"/>
      <c r="E13" s="11" t="s">
        <v>100</v>
      </c>
      <c r="F13" s="31" t="n">
        <v>25</v>
      </c>
      <c r="G13" s="11" t="s">
        <v>91</v>
      </c>
      <c r="H13" s="20" t="n">
        <v>1</v>
      </c>
      <c r="I13" s="14"/>
    </row>
    <row r="14" customFormat="false" ht="15" hidden="false" customHeight="false" outlineLevel="0" collapsed="false">
      <c r="A14" s="32"/>
      <c r="B14" s="32"/>
      <c r="C14" s="32"/>
      <c r="D14" s="32"/>
      <c r="E14" s="11" t="s">
        <v>106</v>
      </c>
      <c r="F14" s="31" t="n">
        <v>25</v>
      </c>
      <c r="G14" s="11" t="s">
        <v>91</v>
      </c>
      <c r="H14" s="20" t="n">
        <v>1</v>
      </c>
      <c r="I14" s="14"/>
    </row>
    <row r="15" customFormat="false" ht="15" hidden="false" customHeight="false" outlineLevel="0" collapsed="false">
      <c r="A15" s="27"/>
      <c r="B15" s="27"/>
      <c r="C15" s="27"/>
      <c r="D15" s="27"/>
      <c r="E15" s="28" t="s">
        <v>255</v>
      </c>
      <c r="F15" s="29" t="n">
        <f aca="false">SUM(F11:F14)</f>
        <v>114</v>
      </c>
      <c r="G15" s="27"/>
      <c r="H15" s="27"/>
      <c r="I15" s="27"/>
    </row>
    <row r="17" customFormat="false" ht="15" hidden="false" customHeight="false" outlineLevel="0" collapsed="false">
      <c r="A17" s="12" t="s">
        <v>258</v>
      </c>
      <c r="B17" s="11" t="s">
        <v>259</v>
      </c>
      <c r="C17" s="30" t="n">
        <f aca="false">SUM(F17:F22)</f>
        <v>114.9</v>
      </c>
      <c r="D17" s="11" t="s">
        <v>91</v>
      </c>
      <c r="E17" s="11" t="s">
        <v>161</v>
      </c>
      <c r="F17" s="31" t="n">
        <v>53</v>
      </c>
      <c r="G17" s="11" t="s">
        <v>91</v>
      </c>
      <c r="H17" s="20" t="n">
        <v>1</v>
      </c>
      <c r="I17" s="14"/>
    </row>
    <row r="18" customFormat="false" ht="15" hidden="false" customHeight="false" outlineLevel="0" collapsed="false">
      <c r="A18" s="32"/>
      <c r="B18" s="32"/>
      <c r="C18" s="32"/>
      <c r="D18" s="32"/>
      <c r="E18" s="11" t="s">
        <v>177</v>
      </c>
      <c r="F18" s="31" t="n">
        <v>11</v>
      </c>
      <c r="G18" s="11" t="s">
        <v>91</v>
      </c>
      <c r="H18" s="20" t="n">
        <v>1</v>
      </c>
      <c r="I18" s="14"/>
    </row>
    <row r="19" customFormat="false" ht="15" hidden="false" customHeight="false" outlineLevel="0" collapsed="false">
      <c r="A19" s="32"/>
      <c r="B19" s="32"/>
      <c r="C19" s="32"/>
      <c r="D19" s="32"/>
      <c r="E19" s="11" t="s">
        <v>100</v>
      </c>
      <c r="F19" s="31" t="n">
        <v>25</v>
      </c>
      <c r="G19" s="11" t="s">
        <v>91</v>
      </c>
      <c r="H19" s="20" t="n">
        <v>1</v>
      </c>
      <c r="I19" s="14"/>
    </row>
    <row r="20" customFormat="false" ht="15" hidden="false" customHeight="false" outlineLevel="0" collapsed="false">
      <c r="A20" s="32"/>
      <c r="B20" s="32"/>
      <c r="C20" s="32"/>
      <c r="D20" s="32"/>
      <c r="E20" s="11" t="s">
        <v>106</v>
      </c>
      <c r="F20" s="31" t="n">
        <v>25</v>
      </c>
      <c r="G20" s="11" t="s">
        <v>91</v>
      </c>
      <c r="H20" s="20" t="n">
        <v>1</v>
      </c>
      <c r="I20" s="14"/>
    </row>
    <row r="21" customFormat="false" ht="15" hidden="false" customHeight="false" outlineLevel="0" collapsed="false">
      <c r="A21" s="32"/>
      <c r="B21" s="32"/>
      <c r="C21" s="32"/>
      <c r="D21" s="32"/>
      <c r="E21" s="11" t="s">
        <v>110</v>
      </c>
      <c r="F21" s="31" t="n">
        <v>0.4</v>
      </c>
      <c r="G21" s="11" t="s">
        <v>91</v>
      </c>
      <c r="H21" s="20" t="n">
        <v>1</v>
      </c>
      <c r="I21" s="14"/>
    </row>
    <row r="22" customFormat="false" ht="15" hidden="false" customHeight="false" outlineLevel="0" collapsed="false">
      <c r="A22" s="32"/>
      <c r="B22" s="32"/>
      <c r="C22" s="32"/>
      <c r="D22" s="32"/>
      <c r="E22" s="11" t="s">
        <v>112</v>
      </c>
      <c r="F22" s="31" t="n">
        <v>0.5</v>
      </c>
      <c r="G22" s="11" t="s">
        <v>91</v>
      </c>
      <c r="H22" s="20" t="n">
        <v>1</v>
      </c>
      <c r="I22" s="14" t="s">
        <v>260</v>
      </c>
    </row>
    <row r="23" customFormat="false" ht="15" hidden="false" customHeight="false" outlineLevel="0" collapsed="false">
      <c r="A23" s="27"/>
      <c r="B23" s="27"/>
      <c r="C23" s="27"/>
      <c r="D23" s="27"/>
      <c r="E23" s="28" t="s">
        <v>255</v>
      </c>
      <c r="F23" s="29" t="n">
        <f aca="false">SUM(F17:F22)</f>
        <v>114.9</v>
      </c>
      <c r="G23" s="27"/>
      <c r="H23" s="27"/>
      <c r="I23" s="27"/>
    </row>
    <row r="25" customFormat="false" ht="15" hidden="false" customHeight="false" outlineLevel="0" collapsed="false">
      <c r="A25" s="12" t="s">
        <v>261</v>
      </c>
      <c r="B25" s="11" t="s">
        <v>262</v>
      </c>
      <c r="C25" s="30" t="n">
        <f aca="false">SUM(F25:F30)</f>
        <v>114.52</v>
      </c>
      <c r="D25" s="11" t="s">
        <v>91</v>
      </c>
      <c r="E25" s="11" t="s">
        <v>161</v>
      </c>
      <c r="F25" s="31" t="n">
        <v>53</v>
      </c>
      <c r="G25" s="11" t="s">
        <v>91</v>
      </c>
      <c r="H25" s="20" t="n">
        <v>1</v>
      </c>
      <c r="I25" s="14"/>
    </row>
    <row r="26" customFormat="false" ht="15" hidden="false" customHeight="false" outlineLevel="0" collapsed="false">
      <c r="A26" s="32"/>
      <c r="B26" s="32"/>
      <c r="C26" s="32"/>
      <c r="D26" s="32"/>
      <c r="E26" s="11" t="s">
        <v>177</v>
      </c>
      <c r="F26" s="31" t="n">
        <v>11</v>
      </c>
      <c r="G26" s="11" t="s">
        <v>91</v>
      </c>
      <c r="H26" s="20" t="n">
        <v>1</v>
      </c>
      <c r="I26" s="14"/>
    </row>
    <row r="27" customFormat="false" ht="15" hidden="false" customHeight="false" outlineLevel="0" collapsed="false">
      <c r="A27" s="32"/>
      <c r="B27" s="32"/>
      <c r="C27" s="32"/>
      <c r="D27" s="32"/>
      <c r="E27" s="11" t="s">
        <v>100</v>
      </c>
      <c r="F27" s="31" t="n">
        <v>25</v>
      </c>
      <c r="G27" s="11" t="s">
        <v>91</v>
      </c>
      <c r="H27" s="20" t="n">
        <v>1</v>
      </c>
      <c r="I27" s="14"/>
    </row>
    <row r="28" customFormat="false" ht="15" hidden="false" customHeight="false" outlineLevel="0" collapsed="false">
      <c r="A28" s="32"/>
      <c r="B28" s="32"/>
      <c r="C28" s="32"/>
      <c r="D28" s="32"/>
      <c r="E28" s="11" t="s">
        <v>106</v>
      </c>
      <c r="F28" s="31" t="n">
        <v>25</v>
      </c>
      <c r="G28" s="11" t="s">
        <v>91</v>
      </c>
      <c r="H28" s="20" t="n">
        <v>1</v>
      </c>
      <c r="I28" s="14"/>
    </row>
    <row r="29" customFormat="false" ht="15" hidden="false" customHeight="false" outlineLevel="0" collapsed="false">
      <c r="A29" s="32"/>
      <c r="B29" s="32"/>
      <c r="C29" s="32"/>
      <c r="D29" s="32"/>
      <c r="E29" s="11" t="s">
        <v>115</v>
      </c>
      <c r="F29" s="31" t="n">
        <v>0.12</v>
      </c>
      <c r="G29" s="11" t="s">
        <v>91</v>
      </c>
      <c r="H29" s="20" t="n">
        <v>1</v>
      </c>
      <c r="I29" s="14" t="s">
        <v>263</v>
      </c>
    </row>
    <row r="30" customFormat="false" ht="15" hidden="false" customHeight="false" outlineLevel="0" collapsed="false">
      <c r="A30" s="32"/>
      <c r="B30" s="32"/>
      <c r="C30" s="32"/>
      <c r="D30" s="32"/>
      <c r="E30" s="11" t="s">
        <v>114</v>
      </c>
      <c r="F30" s="31" t="n">
        <v>0.4</v>
      </c>
      <c r="G30" s="11" t="s">
        <v>91</v>
      </c>
      <c r="H30" s="20" t="n">
        <v>1</v>
      </c>
      <c r="I30" s="14" t="s">
        <v>264</v>
      </c>
    </row>
    <row r="31" customFormat="false" ht="15" hidden="false" customHeight="false" outlineLevel="0" collapsed="false">
      <c r="A31" s="27"/>
      <c r="B31" s="27"/>
      <c r="C31" s="27"/>
      <c r="D31" s="27"/>
      <c r="E31" s="28" t="s">
        <v>255</v>
      </c>
      <c r="F31" s="29" t="n">
        <f aca="false">SUM(F25:F30)</f>
        <v>114.52</v>
      </c>
      <c r="G31" s="27"/>
      <c r="H31" s="27"/>
      <c r="I31" s="27"/>
    </row>
    <row r="33" customFormat="false" ht="15" hidden="false" customHeight="false" outlineLevel="0" collapsed="false">
      <c r="A33" s="12" t="s">
        <v>265</v>
      </c>
      <c r="B33" s="11" t="s">
        <v>266</v>
      </c>
      <c r="C33" s="30" t="n">
        <f aca="false">SUM(F33:F37)</f>
        <v>114.09</v>
      </c>
      <c r="D33" s="11" t="s">
        <v>91</v>
      </c>
      <c r="E33" s="11" t="s">
        <v>161</v>
      </c>
      <c r="F33" s="31" t="n">
        <v>53</v>
      </c>
      <c r="G33" s="11" t="s">
        <v>91</v>
      </c>
      <c r="H33" s="20" t="n">
        <v>1</v>
      </c>
      <c r="I33" s="14"/>
    </row>
    <row r="34" customFormat="false" ht="15" hidden="false" customHeight="false" outlineLevel="0" collapsed="false">
      <c r="A34" s="32"/>
      <c r="B34" s="32"/>
      <c r="C34" s="32"/>
      <c r="D34" s="32"/>
      <c r="E34" s="11" t="s">
        <v>177</v>
      </c>
      <c r="F34" s="31" t="n">
        <v>11</v>
      </c>
      <c r="G34" s="11" t="s">
        <v>91</v>
      </c>
      <c r="H34" s="20" t="n">
        <v>1</v>
      </c>
      <c r="I34" s="14"/>
    </row>
    <row r="35" customFormat="false" ht="15" hidden="false" customHeight="false" outlineLevel="0" collapsed="false">
      <c r="A35" s="32"/>
      <c r="B35" s="32"/>
      <c r="C35" s="32"/>
      <c r="D35" s="32"/>
      <c r="E35" s="11" t="s">
        <v>103</v>
      </c>
      <c r="F35" s="31" t="n">
        <v>25</v>
      </c>
      <c r="G35" s="11" t="s">
        <v>91</v>
      </c>
      <c r="H35" s="20" t="n">
        <v>1</v>
      </c>
      <c r="I35" s="14"/>
    </row>
    <row r="36" customFormat="false" ht="15" hidden="false" customHeight="false" outlineLevel="0" collapsed="false">
      <c r="A36" s="32"/>
      <c r="B36" s="32"/>
      <c r="C36" s="32"/>
      <c r="D36" s="32"/>
      <c r="E36" s="11" t="s">
        <v>106</v>
      </c>
      <c r="F36" s="31" t="n">
        <v>25</v>
      </c>
      <c r="G36" s="11" t="s">
        <v>91</v>
      </c>
      <c r="H36" s="20" t="n">
        <v>1</v>
      </c>
      <c r="I36" s="14"/>
    </row>
    <row r="37" customFormat="false" ht="15" hidden="false" customHeight="false" outlineLevel="0" collapsed="false">
      <c r="A37" s="32"/>
      <c r="B37" s="32"/>
      <c r="C37" s="32"/>
      <c r="D37" s="32"/>
      <c r="E37" s="11" t="s">
        <v>122</v>
      </c>
      <c r="F37" s="31" t="n">
        <v>0.09</v>
      </c>
      <c r="G37" s="11" t="s">
        <v>91</v>
      </c>
      <c r="H37" s="20" t="n">
        <v>1</v>
      </c>
      <c r="I37" s="14" t="s">
        <v>267</v>
      </c>
    </row>
    <row r="38" customFormat="false" ht="15" hidden="false" customHeight="false" outlineLevel="0" collapsed="false">
      <c r="A38" s="27"/>
      <c r="B38" s="27"/>
      <c r="C38" s="27"/>
      <c r="D38" s="27"/>
      <c r="E38" s="28" t="s">
        <v>255</v>
      </c>
      <c r="F38" s="29" t="n">
        <f aca="false">SUM(F33:F37)</f>
        <v>114.09</v>
      </c>
      <c r="G38" s="27"/>
      <c r="H38" s="27"/>
      <c r="I38" s="27"/>
    </row>
    <row r="40" customFormat="false" ht="15" hidden="false" customHeight="false" outlineLevel="0" collapsed="false">
      <c r="A40" s="12" t="s">
        <v>268</v>
      </c>
      <c r="B40" s="11" t="s">
        <v>269</v>
      </c>
      <c r="C40" s="30" t="n">
        <f aca="false">SUM(F40:F44)</f>
        <v>114.09</v>
      </c>
      <c r="D40" s="11" t="s">
        <v>91</v>
      </c>
      <c r="E40" s="11" t="s">
        <v>161</v>
      </c>
      <c r="F40" s="31" t="n">
        <v>53</v>
      </c>
      <c r="G40" s="11" t="s">
        <v>91</v>
      </c>
      <c r="H40" s="20" t="n">
        <v>1</v>
      </c>
      <c r="I40" s="14"/>
    </row>
    <row r="41" customFormat="false" ht="15" hidden="false" customHeight="false" outlineLevel="0" collapsed="false">
      <c r="A41" s="32"/>
      <c r="B41" s="32"/>
      <c r="C41" s="32"/>
      <c r="D41" s="32"/>
      <c r="E41" s="11" t="s">
        <v>180</v>
      </c>
      <c r="F41" s="31" t="n">
        <v>11</v>
      </c>
      <c r="G41" s="11" t="s">
        <v>91</v>
      </c>
      <c r="H41" s="20" t="n">
        <v>1</v>
      </c>
      <c r="I41" s="14"/>
    </row>
    <row r="42" customFormat="false" ht="15" hidden="false" customHeight="false" outlineLevel="0" collapsed="false">
      <c r="A42" s="32"/>
      <c r="B42" s="32"/>
      <c r="C42" s="32"/>
      <c r="D42" s="32"/>
      <c r="E42" s="11" t="s">
        <v>103</v>
      </c>
      <c r="F42" s="31" t="n">
        <v>25</v>
      </c>
      <c r="G42" s="11" t="s">
        <v>91</v>
      </c>
      <c r="H42" s="20" t="n">
        <v>1</v>
      </c>
      <c r="I42" s="14"/>
    </row>
    <row r="43" customFormat="false" ht="15" hidden="false" customHeight="false" outlineLevel="0" collapsed="false">
      <c r="A43" s="32"/>
      <c r="B43" s="32"/>
      <c r="C43" s="32"/>
      <c r="D43" s="32"/>
      <c r="E43" s="11" t="s">
        <v>106</v>
      </c>
      <c r="F43" s="31" t="n">
        <v>25</v>
      </c>
      <c r="G43" s="11" t="s">
        <v>91</v>
      </c>
      <c r="H43" s="20" t="n">
        <v>1</v>
      </c>
      <c r="I43" s="14"/>
    </row>
    <row r="44" customFormat="false" ht="15" hidden="false" customHeight="false" outlineLevel="0" collapsed="false">
      <c r="A44" s="32"/>
      <c r="B44" s="32"/>
      <c r="C44" s="32"/>
      <c r="D44" s="32"/>
      <c r="E44" s="11" t="s">
        <v>125</v>
      </c>
      <c r="F44" s="31" t="n">
        <v>0.09</v>
      </c>
      <c r="G44" s="11" t="s">
        <v>91</v>
      </c>
      <c r="H44" s="20" t="n">
        <v>1</v>
      </c>
      <c r="I44" s="14" t="s">
        <v>267</v>
      </c>
    </row>
    <row r="45" customFormat="false" ht="15" hidden="false" customHeight="false" outlineLevel="0" collapsed="false">
      <c r="A45" s="27"/>
      <c r="B45" s="27"/>
      <c r="C45" s="27"/>
      <c r="D45" s="27"/>
      <c r="E45" s="28" t="s">
        <v>255</v>
      </c>
      <c r="F45" s="29" t="n">
        <f aca="false">SUM(F40:F44)</f>
        <v>114.09</v>
      </c>
      <c r="G45" s="27"/>
      <c r="H45" s="27"/>
      <c r="I45" s="27"/>
    </row>
    <row r="47" customFormat="false" ht="15" hidden="false" customHeight="false" outlineLevel="0" collapsed="false">
      <c r="A47" s="12" t="s">
        <v>270</v>
      </c>
      <c r="B47" s="11" t="s">
        <v>271</v>
      </c>
      <c r="C47" s="30" t="n">
        <f aca="false">SUM(F47:F51)</f>
        <v>114.09</v>
      </c>
      <c r="D47" s="11" t="s">
        <v>91</v>
      </c>
      <c r="E47" s="11" t="s">
        <v>161</v>
      </c>
      <c r="F47" s="31" t="n">
        <v>53</v>
      </c>
      <c r="G47" s="11" t="s">
        <v>91</v>
      </c>
      <c r="H47" s="20" t="n">
        <v>1</v>
      </c>
      <c r="I47" s="14"/>
    </row>
    <row r="48" customFormat="false" ht="15" hidden="false" customHeight="false" outlineLevel="0" collapsed="false">
      <c r="A48" s="32"/>
      <c r="B48" s="32"/>
      <c r="C48" s="32"/>
      <c r="D48" s="32"/>
      <c r="E48" s="11" t="s">
        <v>183</v>
      </c>
      <c r="F48" s="31" t="n">
        <v>11</v>
      </c>
      <c r="G48" s="11" t="s">
        <v>91</v>
      </c>
      <c r="H48" s="20" t="n">
        <v>1</v>
      </c>
      <c r="I48" s="14"/>
    </row>
    <row r="49" customFormat="false" ht="15" hidden="false" customHeight="false" outlineLevel="0" collapsed="false">
      <c r="A49" s="32"/>
      <c r="B49" s="32"/>
      <c r="C49" s="32"/>
      <c r="D49" s="32"/>
      <c r="E49" s="11" t="s">
        <v>103</v>
      </c>
      <c r="F49" s="31" t="n">
        <v>25</v>
      </c>
      <c r="G49" s="11" t="s">
        <v>91</v>
      </c>
      <c r="H49" s="20" t="n">
        <v>1</v>
      </c>
      <c r="I49" s="14"/>
    </row>
    <row r="50" customFormat="false" ht="15" hidden="false" customHeight="false" outlineLevel="0" collapsed="false">
      <c r="A50" s="32"/>
      <c r="B50" s="32"/>
      <c r="C50" s="32"/>
      <c r="D50" s="32"/>
      <c r="E50" s="11" t="s">
        <v>106</v>
      </c>
      <c r="F50" s="31" t="n">
        <v>25</v>
      </c>
      <c r="G50" s="11" t="s">
        <v>91</v>
      </c>
      <c r="H50" s="20" t="n">
        <v>1</v>
      </c>
      <c r="I50" s="14"/>
    </row>
    <row r="51" customFormat="false" ht="15" hidden="false" customHeight="false" outlineLevel="0" collapsed="false">
      <c r="A51" s="32"/>
      <c r="B51" s="32"/>
      <c r="C51" s="32"/>
      <c r="D51" s="32"/>
      <c r="E51" s="11" t="s">
        <v>126</v>
      </c>
      <c r="F51" s="31" t="n">
        <v>0.09</v>
      </c>
      <c r="G51" s="11" t="s">
        <v>91</v>
      </c>
      <c r="H51" s="20" t="n">
        <v>1</v>
      </c>
      <c r="I51" s="14" t="s">
        <v>267</v>
      </c>
    </row>
    <row r="52" customFormat="false" ht="15" hidden="false" customHeight="false" outlineLevel="0" collapsed="false">
      <c r="A52" s="27"/>
      <c r="B52" s="27"/>
      <c r="C52" s="27"/>
      <c r="D52" s="27"/>
      <c r="E52" s="28" t="s">
        <v>255</v>
      </c>
      <c r="F52" s="29" t="n">
        <f aca="false">SUM(F47:F51)</f>
        <v>114.09</v>
      </c>
      <c r="G52" s="27"/>
      <c r="H52" s="27"/>
      <c r="I52" s="27"/>
    </row>
    <row r="54" customFormat="false" ht="15" hidden="false" customHeight="false" outlineLevel="0" collapsed="false">
      <c r="A54" s="12" t="s">
        <v>272</v>
      </c>
      <c r="B54" s="11" t="s">
        <v>273</v>
      </c>
      <c r="C54" s="30" t="n">
        <f aca="false">SUM(F54:F58)</f>
        <v>114.07</v>
      </c>
      <c r="D54" s="11" t="s">
        <v>91</v>
      </c>
      <c r="E54" s="11" t="s">
        <v>161</v>
      </c>
      <c r="F54" s="31" t="n">
        <v>53</v>
      </c>
      <c r="G54" s="11" t="s">
        <v>91</v>
      </c>
      <c r="H54" s="20" t="n">
        <v>1</v>
      </c>
      <c r="I54" s="14"/>
    </row>
    <row r="55" customFormat="false" ht="15" hidden="false" customHeight="false" outlineLevel="0" collapsed="false">
      <c r="A55" s="32"/>
      <c r="B55" s="32"/>
      <c r="C55" s="32"/>
      <c r="D55" s="32"/>
      <c r="E55" s="11" t="s">
        <v>177</v>
      </c>
      <c r="F55" s="31" t="n">
        <v>11</v>
      </c>
      <c r="G55" s="11" t="s">
        <v>91</v>
      </c>
      <c r="H55" s="20" t="n">
        <v>1</v>
      </c>
      <c r="I55" s="14"/>
    </row>
    <row r="56" customFormat="false" ht="15" hidden="false" customHeight="false" outlineLevel="0" collapsed="false">
      <c r="A56" s="32"/>
      <c r="B56" s="32"/>
      <c r="C56" s="32"/>
      <c r="D56" s="32"/>
      <c r="E56" s="11" t="s">
        <v>103</v>
      </c>
      <c r="F56" s="31" t="n">
        <v>25</v>
      </c>
      <c r="G56" s="11" t="s">
        <v>91</v>
      </c>
      <c r="H56" s="20" t="n">
        <v>1</v>
      </c>
      <c r="I56" s="14"/>
    </row>
    <row r="57" customFormat="false" ht="15" hidden="false" customHeight="false" outlineLevel="0" collapsed="false">
      <c r="A57" s="32"/>
      <c r="B57" s="32"/>
      <c r="C57" s="32"/>
      <c r="D57" s="32"/>
      <c r="E57" s="11" t="s">
        <v>106</v>
      </c>
      <c r="F57" s="31" t="n">
        <v>25</v>
      </c>
      <c r="G57" s="11" t="s">
        <v>91</v>
      </c>
      <c r="H57" s="20" t="n">
        <v>1</v>
      </c>
      <c r="I57" s="14"/>
    </row>
    <row r="58" customFormat="false" ht="15" hidden="false" customHeight="false" outlineLevel="0" collapsed="false">
      <c r="A58" s="32"/>
      <c r="B58" s="32"/>
      <c r="C58" s="32"/>
      <c r="D58" s="32"/>
      <c r="E58" s="11" t="s">
        <v>127</v>
      </c>
      <c r="F58" s="31" t="n">
        <v>0.07</v>
      </c>
      <c r="G58" s="11" t="s">
        <v>91</v>
      </c>
      <c r="H58" s="20" t="n">
        <v>1</v>
      </c>
      <c r="I58" s="14" t="s">
        <v>274</v>
      </c>
    </row>
    <row r="59" customFormat="false" ht="15" hidden="false" customHeight="false" outlineLevel="0" collapsed="false">
      <c r="A59" s="27"/>
      <c r="B59" s="27"/>
      <c r="C59" s="27"/>
      <c r="D59" s="27"/>
      <c r="E59" s="28" t="s">
        <v>255</v>
      </c>
      <c r="F59" s="29" t="n">
        <f aca="false">SUM(F54:F58)</f>
        <v>114.07</v>
      </c>
      <c r="G59" s="27"/>
      <c r="H59" s="27"/>
      <c r="I59" s="27"/>
    </row>
    <row r="62" customFormat="false" ht="15" hidden="false" customHeight="true" outlineLevel="0" collapsed="false">
      <c r="A62" s="18" t="s">
        <v>275</v>
      </c>
      <c r="B62" s="18"/>
      <c r="C62" s="18"/>
      <c r="D62" s="18"/>
      <c r="E62" s="18"/>
      <c r="F62" s="18"/>
      <c r="G62" s="18"/>
      <c r="H62" s="18"/>
      <c r="I62" s="18"/>
    </row>
  </sheetData>
  <mergeCells count="1">
    <mergeCell ref="A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30" hidden="false" customHeight="true" outlineLevel="0" collapsed="false">
      <c r="A4" s="10" t="s">
        <v>229</v>
      </c>
      <c r="B4" s="10" t="s">
        <v>230</v>
      </c>
      <c r="C4" s="10" t="s">
        <v>231</v>
      </c>
      <c r="D4" s="10" t="s">
        <v>44</v>
      </c>
      <c r="E4" s="10" t="s">
        <v>232</v>
      </c>
      <c r="F4" s="10" t="s">
        <v>233</v>
      </c>
      <c r="G4" s="10" t="s">
        <v>44</v>
      </c>
      <c r="H4" s="10" t="s">
        <v>234</v>
      </c>
      <c r="I4" s="10" t="s">
        <v>47</v>
      </c>
    </row>
    <row r="5" customFormat="false" ht="15" hidden="false" customHeight="false" outlineLevel="0" collapsed="false">
      <c r="A5" s="12" t="s">
        <v>278</v>
      </c>
      <c r="B5" s="11" t="s">
        <v>279</v>
      </c>
      <c r="C5" s="30" t="n">
        <f aca="false">SUM(F5:F10)</f>
        <v>40.05</v>
      </c>
      <c r="D5" s="11" t="s">
        <v>91</v>
      </c>
      <c r="E5" s="11" t="s">
        <v>161</v>
      </c>
      <c r="F5" s="31" t="n">
        <v>12</v>
      </c>
      <c r="G5" s="11" t="s">
        <v>91</v>
      </c>
      <c r="H5" s="20" t="n">
        <v>1</v>
      </c>
      <c r="I5" s="14"/>
    </row>
    <row r="6" customFormat="false" ht="23.85" hidden="false" customHeight="false" outlineLevel="0" collapsed="false">
      <c r="A6" s="32"/>
      <c r="B6" s="32"/>
      <c r="C6" s="32"/>
      <c r="D6" s="32"/>
      <c r="E6" s="11" t="s">
        <v>138</v>
      </c>
      <c r="F6" s="31" t="n">
        <v>8</v>
      </c>
      <c r="G6" s="11" t="s">
        <v>91</v>
      </c>
      <c r="H6" s="20" t="n">
        <v>1</v>
      </c>
      <c r="I6" s="14" t="s">
        <v>280</v>
      </c>
    </row>
    <row r="7" customFormat="false" ht="15" hidden="false" customHeight="false" outlineLevel="0" collapsed="false">
      <c r="A7" s="32"/>
      <c r="B7" s="32"/>
      <c r="C7" s="32"/>
      <c r="D7" s="32"/>
      <c r="E7" s="11" t="s">
        <v>117</v>
      </c>
      <c r="F7" s="31" t="n">
        <v>1</v>
      </c>
      <c r="G7" s="11" t="s">
        <v>91</v>
      </c>
      <c r="H7" s="20" t="n">
        <v>1</v>
      </c>
      <c r="I7" s="14"/>
    </row>
    <row r="8" customFormat="false" ht="15" hidden="false" customHeight="false" outlineLevel="0" collapsed="false">
      <c r="A8" s="32"/>
      <c r="B8" s="32"/>
      <c r="C8" s="32"/>
      <c r="D8" s="32"/>
      <c r="E8" s="11" t="s">
        <v>103</v>
      </c>
      <c r="F8" s="31" t="n">
        <v>3</v>
      </c>
      <c r="G8" s="11" t="s">
        <v>91</v>
      </c>
      <c r="H8" s="20" t="n">
        <v>1</v>
      </c>
      <c r="I8" s="14"/>
    </row>
    <row r="9" customFormat="false" ht="15" hidden="false" customHeight="false" outlineLevel="0" collapsed="false">
      <c r="A9" s="32"/>
      <c r="B9" s="32"/>
      <c r="C9" s="32"/>
      <c r="D9" s="32"/>
      <c r="E9" s="11" t="s">
        <v>97</v>
      </c>
      <c r="F9" s="31" t="n">
        <v>16</v>
      </c>
      <c r="G9" s="11" t="s">
        <v>91</v>
      </c>
      <c r="H9" s="20" t="n">
        <v>1</v>
      </c>
      <c r="I9" s="14"/>
    </row>
    <row r="10" customFormat="false" ht="15" hidden="false" customHeight="false" outlineLevel="0" collapsed="false">
      <c r="A10" s="32"/>
      <c r="B10" s="32"/>
      <c r="C10" s="32"/>
      <c r="D10" s="32"/>
      <c r="E10" s="11" t="s">
        <v>109</v>
      </c>
      <c r="F10" s="31" t="n">
        <v>0.05</v>
      </c>
      <c r="G10" s="11" t="s">
        <v>91</v>
      </c>
      <c r="H10" s="20" t="n">
        <v>1</v>
      </c>
      <c r="I10" s="14" t="s">
        <v>281</v>
      </c>
    </row>
    <row r="11" customFormat="false" ht="15" hidden="false" customHeight="false" outlineLevel="0" collapsed="false">
      <c r="A11" s="27"/>
      <c r="B11" s="27"/>
      <c r="C11" s="27"/>
      <c r="D11" s="27"/>
      <c r="E11" s="28" t="s">
        <v>255</v>
      </c>
      <c r="F11" s="29" t="n">
        <f aca="false">SUM(F5:F10)</f>
        <v>40.05</v>
      </c>
      <c r="G11" s="27"/>
      <c r="H11" s="27"/>
      <c r="I11" s="34" t="s">
        <v>282</v>
      </c>
    </row>
    <row r="13" customFormat="false" ht="15" hidden="false" customHeight="false" outlineLevel="0" collapsed="false">
      <c r="A13" s="12" t="s">
        <v>283</v>
      </c>
      <c r="B13" s="11" t="s">
        <v>284</v>
      </c>
      <c r="C13" s="30" t="n">
        <f aca="false">SUM(F13:F19)</f>
        <v>40.05</v>
      </c>
      <c r="D13" s="11" t="s">
        <v>91</v>
      </c>
      <c r="E13" s="11" t="s">
        <v>161</v>
      </c>
      <c r="F13" s="31" t="n">
        <v>18</v>
      </c>
      <c r="G13" s="11" t="s">
        <v>91</v>
      </c>
      <c r="H13" s="20" t="n">
        <v>1</v>
      </c>
      <c r="I13" s="14"/>
    </row>
    <row r="14" customFormat="false" ht="15" hidden="false" customHeight="false" outlineLevel="0" collapsed="false">
      <c r="A14" s="32"/>
      <c r="B14" s="32"/>
      <c r="C14" s="32"/>
      <c r="D14" s="32"/>
      <c r="E14" s="11" t="s">
        <v>112</v>
      </c>
      <c r="F14" s="31" t="n">
        <v>0.5</v>
      </c>
      <c r="G14" s="11" t="s">
        <v>91</v>
      </c>
      <c r="H14" s="20" t="n">
        <v>1</v>
      </c>
      <c r="I14" s="14" t="s">
        <v>285</v>
      </c>
    </row>
    <row r="15" customFormat="false" ht="15" hidden="false" customHeight="false" outlineLevel="0" collapsed="false">
      <c r="A15" s="32"/>
      <c r="B15" s="32"/>
      <c r="C15" s="32"/>
      <c r="D15" s="32"/>
      <c r="E15" s="11" t="s">
        <v>110</v>
      </c>
      <c r="F15" s="31" t="n">
        <v>0.5</v>
      </c>
      <c r="G15" s="11" t="s">
        <v>91</v>
      </c>
      <c r="H15" s="20" t="n">
        <v>1</v>
      </c>
      <c r="I15" s="14" t="s">
        <v>285</v>
      </c>
    </row>
    <row r="16" customFormat="false" ht="15" hidden="false" customHeight="false" outlineLevel="0" collapsed="false">
      <c r="A16" s="32"/>
      <c r="B16" s="32"/>
      <c r="C16" s="32"/>
      <c r="D16" s="32"/>
      <c r="E16" s="11" t="s">
        <v>117</v>
      </c>
      <c r="F16" s="31" t="n">
        <v>1</v>
      </c>
      <c r="G16" s="11" t="s">
        <v>91</v>
      </c>
      <c r="H16" s="20" t="n">
        <v>1</v>
      </c>
      <c r="I16" s="14"/>
    </row>
    <row r="17" customFormat="false" ht="15" hidden="false" customHeight="false" outlineLevel="0" collapsed="false">
      <c r="A17" s="32"/>
      <c r="B17" s="32"/>
      <c r="C17" s="32"/>
      <c r="D17" s="32"/>
      <c r="E17" s="11" t="s">
        <v>103</v>
      </c>
      <c r="F17" s="31" t="n">
        <v>4</v>
      </c>
      <c r="G17" s="11" t="s">
        <v>91</v>
      </c>
      <c r="H17" s="20" t="n">
        <v>1</v>
      </c>
      <c r="I17" s="14"/>
    </row>
    <row r="18" customFormat="false" ht="15" hidden="false" customHeight="false" outlineLevel="0" collapsed="false">
      <c r="A18" s="32"/>
      <c r="B18" s="32"/>
      <c r="C18" s="32"/>
      <c r="D18" s="32"/>
      <c r="E18" s="11" t="s">
        <v>97</v>
      </c>
      <c r="F18" s="31" t="n">
        <v>16</v>
      </c>
      <c r="G18" s="11" t="s">
        <v>91</v>
      </c>
      <c r="H18" s="20" t="n">
        <v>1</v>
      </c>
      <c r="I18" s="14"/>
    </row>
    <row r="19" customFormat="false" ht="15" hidden="false" customHeight="false" outlineLevel="0" collapsed="false">
      <c r="A19" s="32"/>
      <c r="B19" s="32"/>
      <c r="C19" s="32"/>
      <c r="D19" s="32"/>
      <c r="E19" s="11" t="s">
        <v>109</v>
      </c>
      <c r="F19" s="31" t="n">
        <v>0.05</v>
      </c>
      <c r="G19" s="11" t="s">
        <v>91</v>
      </c>
      <c r="H19" s="20" t="n">
        <v>1</v>
      </c>
      <c r="I19" s="14" t="s">
        <v>281</v>
      </c>
    </row>
    <row r="20" customFormat="false" ht="15" hidden="false" customHeight="false" outlineLevel="0" collapsed="false">
      <c r="A20" s="27"/>
      <c r="B20" s="27"/>
      <c r="C20" s="27"/>
      <c r="D20" s="27"/>
      <c r="E20" s="28" t="s">
        <v>255</v>
      </c>
      <c r="F20" s="29" t="n">
        <f aca="false">SUM(F13:F19)</f>
        <v>40.05</v>
      </c>
      <c r="G20" s="27"/>
      <c r="H20" s="27"/>
      <c r="I20" s="34" t="s">
        <v>282</v>
      </c>
    </row>
    <row r="22" customFormat="false" ht="15" hidden="false" customHeight="false" outlineLevel="0" collapsed="false">
      <c r="A22" s="12" t="s">
        <v>286</v>
      </c>
      <c r="B22" s="11" t="s">
        <v>287</v>
      </c>
      <c r="C22" s="30" t="n">
        <f aca="false">SUM(F22:F27)</f>
        <v>40.05</v>
      </c>
      <c r="D22" s="11" t="s">
        <v>91</v>
      </c>
      <c r="E22" s="11" t="s">
        <v>161</v>
      </c>
      <c r="F22" s="31" t="n">
        <v>16</v>
      </c>
      <c r="G22" s="11" t="s">
        <v>91</v>
      </c>
      <c r="H22" s="20" t="n">
        <v>1</v>
      </c>
      <c r="I22" s="14"/>
    </row>
    <row r="23" customFormat="false" ht="23.85" hidden="false" customHeight="false" outlineLevel="0" collapsed="false">
      <c r="A23" s="32"/>
      <c r="B23" s="32"/>
      <c r="C23" s="32"/>
      <c r="D23" s="32"/>
      <c r="E23" s="11" t="s">
        <v>141</v>
      </c>
      <c r="F23" s="31" t="n">
        <v>4</v>
      </c>
      <c r="G23" s="11" t="s">
        <v>91</v>
      </c>
      <c r="H23" s="20" t="n">
        <v>1</v>
      </c>
      <c r="I23" s="14" t="s">
        <v>288</v>
      </c>
    </row>
    <row r="24" customFormat="false" ht="15" hidden="false" customHeight="false" outlineLevel="0" collapsed="false">
      <c r="A24" s="32"/>
      <c r="B24" s="32"/>
      <c r="C24" s="32"/>
      <c r="D24" s="32"/>
      <c r="E24" s="11" t="s">
        <v>117</v>
      </c>
      <c r="F24" s="31" t="n">
        <v>1</v>
      </c>
      <c r="G24" s="11" t="s">
        <v>91</v>
      </c>
      <c r="H24" s="20" t="n">
        <v>1</v>
      </c>
      <c r="I24" s="14"/>
    </row>
    <row r="25" customFormat="false" ht="15" hidden="false" customHeight="false" outlineLevel="0" collapsed="false">
      <c r="A25" s="32"/>
      <c r="B25" s="32"/>
      <c r="C25" s="32"/>
      <c r="D25" s="32"/>
      <c r="E25" s="11" t="s">
        <v>103</v>
      </c>
      <c r="F25" s="31" t="n">
        <v>3</v>
      </c>
      <c r="G25" s="11" t="s">
        <v>91</v>
      </c>
      <c r="H25" s="20" t="n">
        <v>1</v>
      </c>
      <c r="I25" s="14"/>
    </row>
    <row r="26" customFormat="false" ht="15" hidden="false" customHeight="false" outlineLevel="0" collapsed="false">
      <c r="A26" s="32"/>
      <c r="B26" s="32"/>
      <c r="C26" s="32"/>
      <c r="D26" s="32"/>
      <c r="E26" s="11" t="s">
        <v>97</v>
      </c>
      <c r="F26" s="31" t="n">
        <v>16</v>
      </c>
      <c r="G26" s="11" t="s">
        <v>91</v>
      </c>
      <c r="H26" s="20" t="n">
        <v>1</v>
      </c>
      <c r="I26" s="14"/>
    </row>
    <row r="27" customFormat="false" ht="15" hidden="false" customHeight="false" outlineLevel="0" collapsed="false">
      <c r="A27" s="32"/>
      <c r="B27" s="32"/>
      <c r="C27" s="32"/>
      <c r="D27" s="32"/>
      <c r="E27" s="11" t="s">
        <v>109</v>
      </c>
      <c r="F27" s="31" t="n">
        <v>0.05</v>
      </c>
      <c r="G27" s="11" t="s">
        <v>91</v>
      </c>
      <c r="H27" s="20" t="n">
        <v>1</v>
      </c>
      <c r="I27" s="14" t="s">
        <v>281</v>
      </c>
    </row>
    <row r="28" customFormat="false" ht="15" hidden="false" customHeight="false" outlineLevel="0" collapsed="false">
      <c r="A28" s="27"/>
      <c r="B28" s="27"/>
      <c r="C28" s="27"/>
      <c r="D28" s="27"/>
      <c r="E28" s="28" t="s">
        <v>255</v>
      </c>
      <c r="F28" s="29" t="n">
        <f aca="false">SUM(F22:F27)</f>
        <v>40.05</v>
      </c>
      <c r="G28" s="27"/>
      <c r="H28" s="27"/>
      <c r="I28" s="34" t="s">
        <v>282</v>
      </c>
    </row>
    <row r="30" customFormat="false" ht="23.85" hidden="false" customHeight="false" outlineLevel="0" collapsed="false">
      <c r="A30" s="12" t="s">
        <v>289</v>
      </c>
      <c r="B30" s="11" t="s">
        <v>290</v>
      </c>
      <c r="C30" s="30" t="n">
        <f aca="false">SUM(F30:F36)</f>
        <v>40</v>
      </c>
      <c r="D30" s="11" t="s">
        <v>91</v>
      </c>
      <c r="E30" s="11" t="s">
        <v>161</v>
      </c>
      <c r="F30" s="31" t="n">
        <v>16</v>
      </c>
      <c r="G30" s="11" t="s">
        <v>91</v>
      </c>
      <c r="H30" s="20" t="n">
        <v>1</v>
      </c>
      <c r="I30" s="14" t="s">
        <v>291</v>
      </c>
    </row>
    <row r="31" customFormat="false" ht="15" hidden="false" customHeight="false" outlineLevel="0" collapsed="false">
      <c r="A31" s="32"/>
      <c r="B31" s="32"/>
      <c r="C31" s="32"/>
      <c r="D31" s="32"/>
      <c r="E31" s="11" t="s">
        <v>143</v>
      </c>
      <c r="F31" s="31" t="n">
        <v>3.6</v>
      </c>
      <c r="G31" s="11" t="s">
        <v>91</v>
      </c>
      <c r="H31" s="20" t="n">
        <v>1</v>
      </c>
      <c r="I31" s="14" t="s">
        <v>292</v>
      </c>
    </row>
    <row r="32" customFormat="false" ht="15" hidden="false" customHeight="false" outlineLevel="0" collapsed="false">
      <c r="A32" s="32"/>
      <c r="B32" s="32"/>
      <c r="C32" s="32"/>
      <c r="D32" s="32"/>
      <c r="E32" s="11" t="s">
        <v>117</v>
      </c>
      <c r="F32" s="31" t="n">
        <v>1</v>
      </c>
      <c r="G32" s="11" t="s">
        <v>91</v>
      </c>
      <c r="H32" s="20" t="n">
        <v>1</v>
      </c>
      <c r="I32" s="14"/>
    </row>
    <row r="33" customFormat="false" ht="15" hidden="false" customHeight="false" outlineLevel="0" collapsed="false">
      <c r="A33" s="32"/>
      <c r="B33" s="32"/>
      <c r="C33" s="32"/>
      <c r="D33" s="32"/>
      <c r="E33" s="11" t="s">
        <v>103</v>
      </c>
      <c r="F33" s="31" t="n">
        <v>3.3</v>
      </c>
      <c r="G33" s="11" t="s">
        <v>91</v>
      </c>
      <c r="H33" s="20" t="n">
        <v>1</v>
      </c>
      <c r="I33" s="14"/>
    </row>
    <row r="34" customFormat="false" ht="15" hidden="false" customHeight="false" outlineLevel="0" collapsed="false">
      <c r="A34" s="32"/>
      <c r="B34" s="32"/>
      <c r="C34" s="32"/>
      <c r="D34" s="32"/>
      <c r="E34" s="11" t="s">
        <v>97</v>
      </c>
      <c r="F34" s="31" t="n">
        <v>16</v>
      </c>
      <c r="G34" s="11" t="s">
        <v>91</v>
      </c>
      <c r="H34" s="20" t="n">
        <v>1</v>
      </c>
      <c r="I34" s="14"/>
    </row>
    <row r="35" customFormat="false" ht="15" hidden="false" customHeight="false" outlineLevel="0" collapsed="false">
      <c r="A35" s="32"/>
      <c r="B35" s="32"/>
      <c r="C35" s="32"/>
      <c r="D35" s="32"/>
      <c r="E35" s="11" t="s">
        <v>147</v>
      </c>
      <c r="F35" s="31" t="n">
        <v>0.05</v>
      </c>
      <c r="G35" s="11" t="s">
        <v>91</v>
      </c>
      <c r="H35" s="20" t="n">
        <v>1</v>
      </c>
      <c r="I35" s="14" t="s">
        <v>281</v>
      </c>
    </row>
    <row r="36" customFormat="false" ht="15" hidden="false" customHeight="false" outlineLevel="0" collapsed="false">
      <c r="A36" s="32"/>
      <c r="B36" s="32"/>
      <c r="C36" s="32"/>
      <c r="D36" s="32"/>
      <c r="E36" s="11" t="s">
        <v>109</v>
      </c>
      <c r="F36" s="31" t="n">
        <v>0.05</v>
      </c>
      <c r="G36" s="11" t="s">
        <v>91</v>
      </c>
      <c r="H36" s="20" t="n">
        <v>1</v>
      </c>
      <c r="I36" s="14" t="s">
        <v>281</v>
      </c>
    </row>
    <row r="37" customFormat="false" ht="15" hidden="false" customHeight="false" outlineLevel="0" collapsed="false">
      <c r="A37" s="27"/>
      <c r="B37" s="27"/>
      <c r="C37" s="27"/>
      <c r="D37" s="27"/>
      <c r="E37" s="28" t="s">
        <v>255</v>
      </c>
      <c r="F37" s="29" t="n">
        <f aca="false">SUM(F30:F36)</f>
        <v>40</v>
      </c>
      <c r="G37" s="27"/>
      <c r="H37" s="27"/>
      <c r="I37" s="34" t="s">
        <v>282</v>
      </c>
    </row>
    <row r="39" customFormat="false" ht="15" hidden="false" customHeight="false" outlineLevel="0" collapsed="false">
      <c r="A39" s="12" t="s">
        <v>293</v>
      </c>
      <c r="B39" s="11" t="s">
        <v>294</v>
      </c>
      <c r="C39" s="30" t="n">
        <f aca="false">SUM(F39:F42)</f>
        <v>40.05</v>
      </c>
      <c r="D39" s="11" t="s">
        <v>91</v>
      </c>
      <c r="E39" s="11" t="s">
        <v>161</v>
      </c>
      <c r="F39" s="31" t="n">
        <v>30</v>
      </c>
      <c r="G39" s="11" t="s">
        <v>91</v>
      </c>
      <c r="H39" s="20" t="n">
        <v>1</v>
      </c>
      <c r="I39" s="14"/>
    </row>
    <row r="40" customFormat="false" ht="15" hidden="false" customHeight="false" outlineLevel="0" collapsed="false">
      <c r="A40" s="32"/>
      <c r="B40" s="32"/>
      <c r="C40" s="32"/>
      <c r="D40" s="32"/>
      <c r="E40" s="11" t="s">
        <v>138</v>
      </c>
      <c r="F40" s="31" t="n">
        <v>8</v>
      </c>
      <c r="G40" s="11" t="s">
        <v>91</v>
      </c>
      <c r="H40" s="20" t="n">
        <v>1</v>
      </c>
      <c r="I40" s="14"/>
    </row>
    <row r="41" customFormat="false" ht="15" hidden="false" customHeight="false" outlineLevel="0" collapsed="false">
      <c r="A41" s="32"/>
      <c r="B41" s="32"/>
      <c r="C41" s="32"/>
      <c r="D41" s="32"/>
      <c r="E41" s="11" t="s">
        <v>145</v>
      </c>
      <c r="F41" s="31" t="n">
        <v>2</v>
      </c>
      <c r="G41" s="11" t="s">
        <v>91</v>
      </c>
      <c r="H41" s="20" t="n">
        <v>1</v>
      </c>
      <c r="I41" s="14"/>
    </row>
    <row r="42" customFormat="false" ht="15" hidden="false" customHeight="false" outlineLevel="0" collapsed="false">
      <c r="A42" s="32"/>
      <c r="B42" s="32"/>
      <c r="C42" s="32"/>
      <c r="D42" s="32"/>
      <c r="E42" s="11" t="s">
        <v>147</v>
      </c>
      <c r="F42" s="31" t="n">
        <v>0.05</v>
      </c>
      <c r="G42" s="11" t="s">
        <v>91</v>
      </c>
      <c r="H42" s="20" t="n">
        <v>1</v>
      </c>
      <c r="I42" s="14" t="s">
        <v>281</v>
      </c>
    </row>
    <row r="43" customFormat="false" ht="15" hidden="false" customHeight="false" outlineLevel="0" collapsed="false">
      <c r="A43" s="27"/>
      <c r="B43" s="27"/>
      <c r="C43" s="27"/>
      <c r="D43" s="27"/>
      <c r="E43" s="28" t="s">
        <v>255</v>
      </c>
      <c r="F43" s="29" t="n">
        <f aca="false">SUM(F39:F42)</f>
        <v>40.05</v>
      </c>
      <c r="G43" s="27"/>
      <c r="H43" s="27"/>
      <c r="I43" s="34" t="s">
        <v>282</v>
      </c>
    </row>
    <row r="45" customFormat="false" ht="15" hidden="false" customHeight="false" outlineLevel="0" collapsed="false">
      <c r="A45" s="12" t="s">
        <v>295</v>
      </c>
      <c r="B45" s="11" t="s">
        <v>296</v>
      </c>
      <c r="C45" s="30" t="n">
        <f aca="false">SUM(F45:F49)</f>
        <v>40</v>
      </c>
      <c r="D45" s="11" t="s">
        <v>91</v>
      </c>
      <c r="E45" s="11" t="s">
        <v>161</v>
      </c>
      <c r="F45" s="31" t="n">
        <v>32.6</v>
      </c>
      <c r="G45" s="11" t="s">
        <v>91</v>
      </c>
      <c r="H45" s="20" t="n">
        <v>1</v>
      </c>
      <c r="I45" s="14"/>
    </row>
    <row r="46" customFormat="false" ht="15" hidden="false" customHeight="false" outlineLevel="0" collapsed="false">
      <c r="A46" s="32"/>
      <c r="B46" s="32"/>
      <c r="C46" s="32"/>
      <c r="D46" s="32"/>
      <c r="E46" s="11" t="s">
        <v>138</v>
      </c>
      <c r="F46" s="31" t="n">
        <v>4</v>
      </c>
      <c r="G46" s="11" t="s">
        <v>91</v>
      </c>
      <c r="H46" s="20" t="n">
        <v>1</v>
      </c>
      <c r="I46" s="14"/>
    </row>
    <row r="47" customFormat="false" ht="15" hidden="false" customHeight="false" outlineLevel="0" collapsed="false">
      <c r="A47" s="32"/>
      <c r="B47" s="32"/>
      <c r="C47" s="32"/>
      <c r="D47" s="32"/>
      <c r="E47" s="11" t="s">
        <v>141</v>
      </c>
      <c r="F47" s="31" t="n">
        <v>3.2</v>
      </c>
      <c r="G47" s="11" t="s">
        <v>91</v>
      </c>
      <c r="H47" s="20" t="n">
        <v>1</v>
      </c>
      <c r="I47" s="14"/>
    </row>
    <row r="48" customFormat="false" ht="15" hidden="false" customHeight="false" outlineLevel="0" collapsed="false">
      <c r="A48" s="32"/>
      <c r="B48" s="32"/>
      <c r="C48" s="32"/>
      <c r="D48" s="32"/>
      <c r="E48" s="11" t="s">
        <v>112</v>
      </c>
      <c r="F48" s="31" t="n">
        <v>0.1</v>
      </c>
      <c r="G48" s="11" t="s">
        <v>91</v>
      </c>
      <c r="H48" s="20" t="n">
        <v>1</v>
      </c>
      <c r="I48" s="14" t="s">
        <v>297</v>
      </c>
    </row>
    <row r="49" customFormat="false" ht="15" hidden="false" customHeight="false" outlineLevel="0" collapsed="false">
      <c r="A49" s="32"/>
      <c r="B49" s="32"/>
      <c r="C49" s="32"/>
      <c r="D49" s="32"/>
      <c r="E49" s="11" t="s">
        <v>110</v>
      </c>
      <c r="F49" s="31" t="n">
        <v>0.1</v>
      </c>
      <c r="G49" s="11" t="s">
        <v>91</v>
      </c>
      <c r="H49" s="20" t="n">
        <v>1</v>
      </c>
      <c r="I49" s="14" t="s">
        <v>297</v>
      </c>
    </row>
    <row r="50" customFormat="false" ht="15" hidden="false" customHeight="false" outlineLevel="0" collapsed="false">
      <c r="A50" s="27"/>
      <c r="B50" s="27"/>
      <c r="C50" s="27"/>
      <c r="D50" s="27"/>
      <c r="E50" s="28" t="s">
        <v>255</v>
      </c>
      <c r="F50" s="29" t="n">
        <f aca="false">SUM(F45:F49)</f>
        <v>40</v>
      </c>
      <c r="G50" s="27"/>
      <c r="H50" s="27"/>
      <c r="I50" s="34" t="s">
        <v>282</v>
      </c>
    </row>
    <row r="52" customFormat="false" ht="15" hidden="false" customHeight="false" outlineLevel="0" collapsed="false">
      <c r="A52" s="12" t="s">
        <v>298</v>
      </c>
      <c r="B52" s="11" t="s">
        <v>218</v>
      </c>
      <c r="C52" s="30" t="n">
        <f aca="false">SUM(F52:F56)</f>
        <v>40.05</v>
      </c>
      <c r="D52" s="11" t="s">
        <v>91</v>
      </c>
      <c r="E52" s="11" t="s">
        <v>161</v>
      </c>
      <c r="F52" s="31" t="n">
        <v>18</v>
      </c>
      <c r="G52" s="11" t="s">
        <v>91</v>
      </c>
      <c r="H52" s="20" t="n">
        <v>1</v>
      </c>
      <c r="I52" s="14"/>
    </row>
    <row r="53" customFormat="false" ht="15" hidden="false" customHeight="false" outlineLevel="0" collapsed="false">
      <c r="A53" s="32"/>
      <c r="B53" s="32"/>
      <c r="C53" s="32"/>
      <c r="D53" s="32"/>
      <c r="E53" s="11" t="s">
        <v>97</v>
      </c>
      <c r="F53" s="31" t="n">
        <v>13</v>
      </c>
      <c r="G53" s="11" t="s">
        <v>91</v>
      </c>
      <c r="H53" s="20" t="n">
        <v>1</v>
      </c>
      <c r="I53" s="14"/>
    </row>
    <row r="54" customFormat="false" ht="15" hidden="false" customHeight="false" outlineLevel="0" collapsed="false">
      <c r="A54" s="32"/>
      <c r="B54" s="32"/>
      <c r="C54" s="32"/>
      <c r="D54" s="32"/>
      <c r="E54" s="11" t="s">
        <v>103</v>
      </c>
      <c r="F54" s="31" t="n">
        <v>8</v>
      </c>
      <c r="G54" s="11" t="s">
        <v>91</v>
      </c>
      <c r="H54" s="20" t="n">
        <v>1</v>
      </c>
      <c r="I54" s="14"/>
    </row>
    <row r="55" customFormat="false" ht="15" hidden="false" customHeight="false" outlineLevel="0" collapsed="false">
      <c r="A55" s="32"/>
      <c r="B55" s="32"/>
      <c r="C55" s="32"/>
      <c r="D55" s="32"/>
      <c r="E55" s="11" t="s">
        <v>117</v>
      </c>
      <c r="F55" s="31" t="n">
        <v>1</v>
      </c>
      <c r="G55" s="11" t="s">
        <v>91</v>
      </c>
      <c r="H55" s="20" t="n">
        <v>1</v>
      </c>
      <c r="I55" s="14"/>
    </row>
    <row r="56" customFormat="false" ht="15" hidden="false" customHeight="false" outlineLevel="0" collapsed="false">
      <c r="A56" s="32"/>
      <c r="B56" s="32"/>
      <c r="C56" s="32"/>
      <c r="D56" s="32"/>
      <c r="E56" s="11" t="s">
        <v>109</v>
      </c>
      <c r="F56" s="31" t="n">
        <v>0.05</v>
      </c>
      <c r="G56" s="11" t="s">
        <v>91</v>
      </c>
      <c r="H56" s="20" t="n">
        <v>1</v>
      </c>
      <c r="I56" s="14" t="s">
        <v>281</v>
      </c>
    </row>
    <row r="57" customFormat="false" ht="15" hidden="false" customHeight="false" outlineLevel="0" collapsed="false">
      <c r="A57" s="27"/>
      <c r="B57" s="27"/>
      <c r="C57" s="27"/>
      <c r="D57" s="27"/>
      <c r="E57" s="28" t="s">
        <v>255</v>
      </c>
      <c r="F57" s="29" t="n">
        <f aca="false">SUM(F52:F56)</f>
        <v>40.05</v>
      </c>
      <c r="G57" s="27"/>
      <c r="H57" s="27"/>
      <c r="I57" s="34" t="s">
        <v>282</v>
      </c>
    </row>
    <row r="59" customFormat="false" ht="15" hidden="false" customHeight="false" outlineLevel="0" collapsed="false">
      <c r="A59" s="12" t="s">
        <v>299</v>
      </c>
      <c r="B59" s="11" t="s">
        <v>220</v>
      </c>
      <c r="C59" s="30" t="n">
        <f aca="false">SUM(F59:F66)</f>
        <v>46.05</v>
      </c>
      <c r="D59" s="11" t="s">
        <v>91</v>
      </c>
      <c r="E59" s="11" t="s">
        <v>166</v>
      </c>
      <c r="F59" s="31" t="n">
        <v>15</v>
      </c>
      <c r="G59" s="11" t="s">
        <v>91</v>
      </c>
      <c r="H59" s="20" t="n">
        <v>1</v>
      </c>
      <c r="I59" s="14" t="s">
        <v>300</v>
      </c>
    </row>
    <row r="60" customFormat="false" ht="15" hidden="false" customHeight="false" outlineLevel="0" collapsed="false">
      <c r="A60" s="32"/>
      <c r="B60" s="32"/>
      <c r="C60" s="32"/>
      <c r="D60" s="32"/>
      <c r="E60" s="11" t="s">
        <v>161</v>
      </c>
      <c r="F60" s="31" t="n">
        <v>5</v>
      </c>
      <c r="G60" s="11" t="s">
        <v>91</v>
      </c>
      <c r="H60" s="20" t="n">
        <v>1</v>
      </c>
      <c r="I60" s="14"/>
    </row>
    <row r="61" customFormat="false" ht="15" hidden="false" customHeight="false" outlineLevel="0" collapsed="false">
      <c r="A61" s="32"/>
      <c r="B61" s="32"/>
      <c r="C61" s="32"/>
      <c r="D61" s="32"/>
      <c r="E61" s="11" t="s">
        <v>97</v>
      </c>
      <c r="F61" s="31" t="n">
        <v>14</v>
      </c>
      <c r="G61" s="11" t="s">
        <v>91</v>
      </c>
      <c r="H61" s="20" t="n">
        <v>1</v>
      </c>
      <c r="I61" s="14"/>
    </row>
    <row r="62" customFormat="false" ht="15" hidden="false" customHeight="false" outlineLevel="0" collapsed="false">
      <c r="A62" s="32"/>
      <c r="B62" s="32"/>
      <c r="C62" s="32"/>
      <c r="D62" s="32"/>
      <c r="E62" s="11" t="s">
        <v>103</v>
      </c>
      <c r="F62" s="31" t="n">
        <v>8</v>
      </c>
      <c r="G62" s="11" t="s">
        <v>91</v>
      </c>
      <c r="H62" s="20" t="n">
        <v>1</v>
      </c>
      <c r="I62" s="14"/>
    </row>
    <row r="63" customFormat="false" ht="15" hidden="false" customHeight="false" outlineLevel="0" collapsed="false">
      <c r="A63" s="32"/>
      <c r="B63" s="32"/>
      <c r="C63" s="32"/>
      <c r="D63" s="32"/>
      <c r="E63" s="11" t="s">
        <v>117</v>
      </c>
      <c r="F63" s="31" t="n">
        <v>1</v>
      </c>
      <c r="G63" s="11" t="s">
        <v>91</v>
      </c>
      <c r="H63" s="20" t="n">
        <v>1</v>
      </c>
      <c r="I63" s="14"/>
    </row>
    <row r="64" customFormat="false" ht="15" hidden="false" customHeight="false" outlineLevel="0" collapsed="false">
      <c r="A64" s="32"/>
      <c r="B64" s="32"/>
      <c r="C64" s="32"/>
      <c r="D64" s="32"/>
      <c r="E64" s="11" t="s">
        <v>119</v>
      </c>
      <c r="F64" s="31" t="n">
        <v>1.5</v>
      </c>
      <c r="G64" s="11" t="s">
        <v>91</v>
      </c>
      <c r="H64" s="20" t="n">
        <v>1</v>
      </c>
      <c r="I64" s="14"/>
    </row>
    <row r="65" customFormat="false" ht="15" hidden="false" customHeight="false" outlineLevel="0" collapsed="false">
      <c r="A65" s="32"/>
      <c r="B65" s="32"/>
      <c r="C65" s="32"/>
      <c r="D65" s="32"/>
      <c r="E65" s="11" t="s">
        <v>121</v>
      </c>
      <c r="F65" s="31" t="n">
        <v>1.5</v>
      </c>
      <c r="G65" s="11" t="s">
        <v>91</v>
      </c>
      <c r="H65" s="20" t="n">
        <v>1</v>
      </c>
      <c r="I65" s="14"/>
    </row>
    <row r="66" customFormat="false" ht="15" hidden="false" customHeight="false" outlineLevel="0" collapsed="false">
      <c r="A66" s="32"/>
      <c r="B66" s="32"/>
      <c r="C66" s="32"/>
      <c r="D66" s="32"/>
      <c r="E66" s="11" t="s">
        <v>149</v>
      </c>
      <c r="F66" s="31" t="n">
        <v>0.05</v>
      </c>
      <c r="G66" s="11" t="s">
        <v>91</v>
      </c>
      <c r="H66" s="20" t="n">
        <v>1</v>
      </c>
      <c r="I66" s="14" t="s">
        <v>281</v>
      </c>
    </row>
    <row r="67" customFormat="false" ht="15" hidden="false" customHeight="false" outlineLevel="0" collapsed="false">
      <c r="A67" s="27"/>
      <c r="B67" s="27"/>
      <c r="C67" s="27"/>
      <c r="D67" s="27"/>
      <c r="E67" s="28" t="s">
        <v>255</v>
      </c>
      <c r="F67" s="29" t="n">
        <f aca="false">SUM(F59:F66)</f>
        <v>46.05</v>
      </c>
      <c r="G67" s="27"/>
      <c r="H67" s="27"/>
      <c r="I67" s="35" t="s">
        <v>301</v>
      </c>
    </row>
    <row r="69" customFormat="false" ht="30" hidden="false" customHeight="true" outlineLevel="0" collapsed="false">
      <c r="A69" s="36" t="s">
        <v>302</v>
      </c>
      <c r="B69" s="36"/>
      <c r="C69" s="36"/>
      <c r="D69" s="36"/>
      <c r="E69" s="36"/>
      <c r="F69" s="36"/>
      <c r="G69" s="36"/>
      <c r="H69" s="36"/>
      <c r="I69" s="36"/>
    </row>
  </sheetData>
  <mergeCells count="1">
    <mergeCell ref="A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303</v>
      </c>
    </row>
    <row r="2" customFormat="false" ht="95.5" hidden="false" customHeight="false" outlineLevel="0" collapsed="false">
      <c r="A2" s="19" t="s">
        <v>304</v>
      </c>
    </row>
    <row r="4" customFormat="false" ht="15" hidden="false" customHeight="false" outlineLevel="0" collapsed="false">
      <c r="A4" s="5" t="s">
        <v>305</v>
      </c>
    </row>
    <row r="6" customFormat="false" ht="30" hidden="false" customHeight="true" outlineLevel="0" collapsed="false">
      <c r="A6" s="10" t="s">
        <v>306</v>
      </c>
      <c r="B6" s="10" t="s">
        <v>307</v>
      </c>
      <c r="C6" s="10" t="s">
        <v>308</v>
      </c>
      <c r="D6" s="10" t="s">
        <v>309</v>
      </c>
      <c r="E6" s="10" t="s">
        <v>310</v>
      </c>
      <c r="F6" s="10" t="s">
        <v>311</v>
      </c>
      <c r="G6" s="10" t="s">
        <v>312</v>
      </c>
      <c r="H6" s="10" t="s">
        <v>313</v>
      </c>
      <c r="I6" s="10" t="s">
        <v>314</v>
      </c>
      <c r="J6" s="10" t="s">
        <v>315</v>
      </c>
    </row>
    <row r="7" customFormat="false" ht="15" hidden="false" customHeight="false" outlineLevel="0" collapsed="false">
      <c r="A7" s="37" t="s">
        <v>316</v>
      </c>
      <c r="B7" s="37" t="s">
        <v>317</v>
      </c>
      <c r="C7" s="37" t="s">
        <v>318</v>
      </c>
      <c r="D7" s="37" t="n">
        <v>200</v>
      </c>
      <c r="E7" s="37" t="s">
        <v>319</v>
      </c>
      <c r="F7" s="37" t="s">
        <v>320</v>
      </c>
      <c r="G7" s="37" t="n">
        <v>1</v>
      </c>
      <c r="H7" s="37" t="s">
        <v>321</v>
      </c>
      <c r="I7" s="37" t="n">
        <v>1</v>
      </c>
      <c r="J7" s="37" t="s">
        <v>322</v>
      </c>
    </row>
    <row r="8" customFormat="false" ht="15" hidden="false" customHeight="false" outlineLevel="0" collapsed="false">
      <c r="A8" s="37" t="s">
        <v>323</v>
      </c>
      <c r="B8" s="37" t="s">
        <v>324</v>
      </c>
      <c r="C8" s="37" t="s">
        <v>325</v>
      </c>
      <c r="D8" s="37" t="n">
        <v>400</v>
      </c>
      <c r="E8" s="37" t="s">
        <v>326</v>
      </c>
      <c r="F8" s="37" t="s">
        <v>327</v>
      </c>
      <c r="G8" s="37" t="n">
        <v>1</v>
      </c>
      <c r="H8" s="37"/>
      <c r="I8" s="37"/>
      <c r="J8" s="37" t="s">
        <v>322</v>
      </c>
    </row>
    <row r="9" customFormat="false" ht="15" hidden="false" customHeight="false" outlineLevel="0" collapsed="false">
      <c r="A9" s="38"/>
      <c r="B9" s="38"/>
      <c r="C9" s="38"/>
      <c r="D9" s="38"/>
      <c r="E9" s="32"/>
      <c r="F9" s="32"/>
      <c r="G9" s="32"/>
      <c r="H9" s="32"/>
      <c r="I9" s="32"/>
      <c r="J9" s="32"/>
    </row>
    <row r="10" customFormat="false" ht="15" hidden="false" customHeight="false" outlineLevel="0" collapsed="false">
      <c r="A10" s="38"/>
      <c r="B10" s="38"/>
      <c r="C10" s="38"/>
      <c r="D10" s="38"/>
      <c r="E10" s="32"/>
      <c r="F10" s="32"/>
      <c r="G10" s="32"/>
      <c r="H10" s="32"/>
      <c r="I10" s="32"/>
      <c r="J10" s="32"/>
    </row>
    <row r="11" customFormat="false" ht="15" hidden="false" customHeight="false" outlineLevel="0" collapsed="false">
      <c r="A11" s="38"/>
      <c r="B11" s="38"/>
      <c r="C11" s="38"/>
      <c r="D11" s="38"/>
      <c r="E11" s="32"/>
      <c r="F11" s="32"/>
      <c r="G11" s="32"/>
      <c r="H11" s="32"/>
      <c r="I11" s="32"/>
      <c r="J11" s="32"/>
    </row>
    <row r="12" customFormat="false" ht="15" hidden="false" customHeight="false" outlineLevel="0" collapsed="false">
      <c r="A12" s="38"/>
      <c r="B12" s="38"/>
      <c r="C12" s="38"/>
      <c r="D12" s="38"/>
      <c r="E12" s="32"/>
      <c r="F12" s="32"/>
      <c r="G12" s="32"/>
      <c r="H12" s="32"/>
      <c r="I12" s="32"/>
      <c r="J12" s="32"/>
    </row>
    <row r="13" customFormat="false" ht="15" hidden="false" customHeight="false" outlineLevel="0" collapsed="false">
      <c r="A13" s="38"/>
      <c r="B13" s="38"/>
      <c r="C13" s="38"/>
      <c r="D13" s="38"/>
      <c r="E13" s="32"/>
      <c r="F13" s="32"/>
      <c r="G13" s="32"/>
      <c r="H13" s="32"/>
      <c r="I13" s="32"/>
      <c r="J13" s="32"/>
    </row>
    <row r="14" customFormat="false" ht="15" hidden="false" customHeight="false" outlineLevel="0" collapsed="false">
      <c r="A14" s="38"/>
      <c r="B14" s="38"/>
      <c r="C14" s="38"/>
      <c r="D14" s="38"/>
      <c r="E14" s="32"/>
      <c r="F14" s="32"/>
      <c r="G14" s="32"/>
      <c r="H14" s="32"/>
      <c r="I14" s="32"/>
      <c r="J14" s="32"/>
    </row>
    <row r="15" customFormat="false" ht="15" hidden="false" customHeight="false" outlineLevel="0" collapsed="false">
      <c r="A15" s="38"/>
      <c r="B15" s="38"/>
      <c r="C15" s="38"/>
      <c r="D15" s="38"/>
      <c r="E15" s="32"/>
      <c r="F15" s="32"/>
      <c r="G15" s="32"/>
      <c r="H15" s="32"/>
      <c r="I15" s="32"/>
      <c r="J15" s="32"/>
    </row>
    <row r="16" customFormat="false" ht="15" hidden="false" customHeight="false" outlineLevel="0" collapsed="false">
      <c r="A16" s="38"/>
      <c r="B16" s="38"/>
      <c r="C16" s="38"/>
      <c r="D16" s="38"/>
      <c r="E16" s="32"/>
      <c r="F16" s="32"/>
      <c r="G16" s="32"/>
      <c r="H16" s="32"/>
      <c r="I16" s="32"/>
      <c r="J16" s="32"/>
    </row>
    <row r="17" customFormat="false" ht="15" hidden="false" customHeight="false" outlineLevel="0" collapsed="false">
      <c r="A17" s="38"/>
      <c r="B17" s="38"/>
      <c r="C17" s="38"/>
      <c r="D17" s="38"/>
      <c r="E17" s="32"/>
      <c r="F17" s="32"/>
      <c r="G17" s="32"/>
      <c r="H17" s="32"/>
      <c r="I17" s="32"/>
      <c r="J17" s="32"/>
    </row>
    <row r="18" customFormat="false" ht="15" hidden="false" customHeight="false" outlineLevel="0" collapsed="false">
      <c r="A18" s="38"/>
      <c r="B18" s="38"/>
      <c r="C18" s="38"/>
      <c r="D18" s="38"/>
      <c r="E18" s="32"/>
      <c r="F18" s="32"/>
      <c r="G18" s="32"/>
      <c r="H18" s="32"/>
      <c r="I18" s="32"/>
      <c r="J18" s="32"/>
    </row>
    <row r="19" customFormat="false" ht="15" hidden="false" customHeight="false" outlineLevel="0" collapsed="false">
      <c r="A19" s="38"/>
      <c r="B19" s="38"/>
      <c r="C19" s="38"/>
      <c r="D19" s="38"/>
      <c r="E19" s="32"/>
      <c r="F19" s="32"/>
      <c r="G19" s="32"/>
      <c r="H19" s="32"/>
      <c r="I19" s="32"/>
      <c r="J19" s="32"/>
    </row>
    <row r="20" customFormat="false" ht="15" hidden="false" customHeight="false" outlineLevel="0" collapsed="false">
      <c r="A20" s="38"/>
      <c r="B20" s="38"/>
      <c r="C20" s="38"/>
      <c r="D20" s="38"/>
      <c r="E20" s="32"/>
      <c r="F20" s="32"/>
      <c r="G20" s="32"/>
      <c r="H20" s="32"/>
      <c r="I20" s="32"/>
      <c r="J20" s="32"/>
    </row>
    <row r="21" customFormat="false" ht="15" hidden="false" customHeight="false" outlineLevel="0" collapsed="false">
      <c r="A21" s="38"/>
      <c r="B21" s="38"/>
      <c r="C21" s="38"/>
      <c r="D21" s="38"/>
      <c r="E21" s="32"/>
      <c r="F21" s="32"/>
      <c r="G21" s="32"/>
      <c r="H21" s="32"/>
      <c r="I21" s="32"/>
      <c r="J21" s="32"/>
    </row>
    <row r="22" customFormat="false" ht="15" hidden="false" customHeight="false" outlineLevel="0" collapsed="false">
      <c r="A22" s="38"/>
      <c r="B22" s="38"/>
      <c r="C22" s="38"/>
      <c r="D22" s="38"/>
      <c r="E22" s="32"/>
      <c r="F22" s="32"/>
      <c r="G22" s="32"/>
      <c r="H22" s="32"/>
      <c r="I22" s="32"/>
      <c r="J22" s="32"/>
    </row>
    <row r="23" customFormat="false" ht="15" hidden="false" customHeight="false" outlineLevel="0" collapsed="false">
      <c r="A23" s="38"/>
      <c r="B23" s="38"/>
      <c r="C23" s="38"/>
      <c r="D23" s="38"/>
      <c r="E23" s="32"/>
      <c r="F23" s="32"/>
      <c r="G23" s="32"/>
      <c r="H23" s="32"/>
      <c r="I23" s="32"/>
      <c r="J23" s="32"/>
    </row>
    <row r="24" customFormat="false" ht="15" hidden="false" customHeight="false" outlineLevel="0" collapsed="false">
      <c r="A24" s="38"/>
      <c r="B24" s="38"/>
      <c r="C24" s="38"/>
      <c r="D24" s="38"/>
      <c r="E24" s="32"/>
      <c r="F24" s="32"/>
      <c r="G24" s="32"/>
      <c r="H24" s="32"/>
      <c r="I24" s="32"/>
      <c r="J24" s="32"/>
    </row>
    <row r="25" customFormat="false" ht="15" hidden="false" customHeight="false" outlineLevel="0" collapsed="false">
      <c r="A25" s="38"/>
      <c r="B25" s="38"/>
      <c r="C25" s="38"/>
      <c r="D25" s="38"/>
      <c r="E25" s="32"/>
      <c r="F25" s="32"/>
      <c r="G25" s="32"/>
      <c r="H25" s="32"/>
      <c r="I25" s="32"/>
      <c r="J25" s="32"/>
    </row>
    <row r="26" customFormat="false" ht="15" hidden="false" customHeight="false" outlineLevel="0" collapsed="false">
      <c r="A26" s="38"/>
      <c r="B26" s="38"/>
      <c r="C26" s="38"/>
      <c r="D26" s="38"/>
      <c r="E26" s="32"/>
      <c r="F26" s="32"/>
      <c r="G26" s="32"/>
      <c r="H26" s="32"/>
      <c r="I26" s="32"/>
      <c r="J26" s="32"/>
    </row>
    <row r="27" customFormat="false" ht="15" hidden="false" customHeight="false" outlineLevel="0" collapsed="false">
      <c r="A27" s="38"/>
      <c r="B27" s="38"/>
      <c r="C27" s="38"/>
      <c r="D27" s="38"/>
      <c r="E27" s="32"/>
      <c r="F27" s="32"/>
      <c r="G27" s="32"/>
      <c r="H27" s="32"/>
      <c r="I27" s="32"/>
      <c r="J27" s="32"/>
    </row>
    <row r="28" customFormat="false" ht="15" hidden="false" customHeight="false" outlineLevel="0" collapsed="false">
      <c r="A28" s="38"/>
      <c r="B28" s="38"/>
      <c r="C28" s="38"/>
      <c r="D28" s="38"/>
      <c r="E28" s="32"/>
      <c r="F28" s="32"/>
      <c r="G28" s="32"/>
      <c r="H28" s="32"/>
      <c r="I28" s="32"/>
      <c r="J28" s="32"/>
    </row>
    <row r="29" customFormat="false" ht="15" hidden="false" customHeight="false" outlineLevel="0" collapsed="false">
      <c r="A29" s="38"/>
      <c r="B29" s="38"/>
      <c r="C29" s="38"/>
      <c r="D29" s="38"/>
      <c r="E29" s="32"/>
      <c r="F29" s="32"/>
      <c r="G29" s="32"/>
      <c r="H29" s="32"/>
      <c r="I29" s="32"/>
      <c r="J29" s="32"/>
    </row>
    <row r="30" customFormat="false" ht="15" hidden="false" customHeight="false" outlineLevel="0" collapsed="false">
      <c r="A30" s="38"/>
      <c r="B30" s="38"/>
      <c r="C30" s="38"/>
      <c r="D30" s="38"/>
      <c r="E30" s="32"/>
      <c r="F30" s="32"/>
      <c r="G30" s="32"/>
      <c r="H30" s="32"/>
      <c r="I30" s="32"/>
      <c r="J30" s="32"/>
    </row>
    <row r="31" customFormat="false" ht="15" hidden="false" customHeight="false" outlineLevel="0" collapsed="false">
      <c r="A31" s="38"/>
      <c r="B31" s="38"/>
      <c r="C31" s="38"/>
      <c r="D31" s="38"/>
      <c r="E31" s="32"/>
      <c r="F31" s="32"/>
      <c r="G31" s="32"/>
      <c r="H31" s="32"/>
      <c r="I31" s="32"/>
      <c r="J31" s="32"/>
    </row>
    <row r="32" customFormat="false" ht="15" hidden="false" customHeight="false" outlineLevel="0" collapsed="false">
      <c r="A32" s="38"/>
      <c r="B32" s="38"/>
      <c r="C32" s="38"/>
      <c r="D32" s="38"/>
      <c r="E32" s="32"/>
      <c r="F32" s="32"/>
      <c r="G32" s="32"/>
      <c r="H32" s="32"/>
      <c r="I32" s="32"/>
      <c r="J32" s="32"/>
    </row>
    <row r="33" customFormat="false" ht="15" hidden="false" customHeight="false" outlineLevel="0" collapsed="false">
      <c r="A33" s="38"/>
      <c r="B33" s="38"/>
      <c r="C33" s="38"/>
      <c r="D33" s="38"/>
      <c r="E33" s="32"/>
      <c r="F33" s="32"/>
      <c r="G33" s="32"/>
      <c r="H33" s="32"/>
      <c r="I33" s="32"/>
      <c r="J33" s="32"/>
    </row>
    <row r="34" customFormat="false" ht="15" hidden="false" customHeight="false" outlineLevel="0" collapsed="false">
      <c r="A34" s="38"/>
      <c r="B34" s="38"/>
      <c r="C34" s="38"/>
      <c r="D34" s="38"/>
      <c r="E34" s="32"/>
      <c r="F34" s="32"/>
      <c r="G34" s="32"/>
      <c r="H34" s="32"/>
      <c r="I34" s="32"/>
      <c r="J34" s="32"/>
    </row>
    <row r="35" customFormat="false" ht="15" hidden="false" customHeight="false" outlineLevel="0" collapsed="false">
      <c r="A35" s="38"/>
      <c r="B35" s="38"/>
      <c r="C35" s="38"/>
      <c r="D35" s="38"/>
      <c r="E35" s="32"/>
      <c r="F35" s="32"/>
      <c r="G35" s="32"/>
      <c r="H35" s="32"/>
      <c r="I35" s="32"/>
      <c r="J35" s="32"/>
    </row>
    <row r="36" customFormat="false" ht="15" hidden="false" customHeight="false" outlineLevel="0" collapsed="false">
      <c r="A36" s="38"/>
      <c r="B36" s="38"/>
      <c r="C36" s="38"/>
      <c r="D36" s="38"/>
      <c r="E36" s="32"/>
      <c r="F36" s="32"/>
      <c r="G36" s="32"/>
      <c r="H36" s="32"/>
      <c r="I36" s="32"/>
      <c r="J36" s="32"/>
    </row>
    <row r="37" customFormat="false" ht="15" hidden="false" customHeight="false" outlineLevel="0" collapsed="false">
      <c r="A37" s="38"/>
      <c r="B37" s="38"/>
      <c r="C37" s="38"/>
      <c r="D37" s="38"/>
      <c r="E37" s="32"/>
      <c r="F37" s="32"/>
      <c r="G37" s="32"/>
      <c r="H37" s="32"/>
      <c r="I37" s="32"/>
      <c r="J37" s="32"/>
    </row>
    <row r="38" customFormat="false" ht="15" hidden="false" customHeight="false" outlineLevel="0" collapsed="false">
      <c r="A38" s="38"/>
      <c r="B38" s="38"/>
      <c r="C38" s="38"/>
      <c r="D38" s="38"/>
      <c r="E38" s="32"/>
      <c r="F38" s="32"/>
      <c r="G38" s="32"/>
      <c r="H38" s="32"/>
      <c r="I38" s="32"/>
      <c r="J38" s="32"/>
    </row>
    <row r="39" customFormat="false" ht="15" hidden="false" customHeight="false" outlineLevel="0" collapsed="false">
      <c r="A39" s="38"/>
      <c r="B39" s="38"/>
      <c r="C39" s="38"/>
      <c r="D39" s="38"/>
      <c r="E39" s="32"/>
      <c r="F39" s="32"/>
      <c r="G39" s="32"/>
      <c r="H39" s="32"/>
      <c r="I39" s="32"/>
      <c r="J39" s="32"/>
    </row>
    <row r="40" customFormat="false" ht="15" hidden="false" customHeight="false" outlineLevel="0" collapsed="false">
      <c r="A40" s="38"/>
      <c r="B40" s="38"/>
      <c r="C40" s="38"/>
      <c r="D40" s="38"/>
      <c r="E40" s="32"/>
      <c r="F40" s="32"/>
      <c r="G40" s="32"/>
      <c r="H40" s="32"/>
      <c r="I40" s="32"/>
      <c r="J40" s="32"/>
    </row>
    <row r="41" customFormat="false" ht="15" hidden="false" customHeight="false" outlineLevel="0" collapsed="false">
      <c r="A41" s="38"/>
      <c r="B41" s="38"/>
      <c r="C41" s="38"/>
      <c r="D41" s="38"/>
      <c r="E41" s="32"/>
      <c r="F41" s="32"/>
      <c r="G41" s="32"/>
      <c r="H41" s="32"/>
      <c r="I41" s="32"/>
      <c r="J41" s="32"/>
    </row>
    <row r="42" customFormat="false" ht="15" hidden="false" customHeight="false" outlineLevel="0" collapsed="false">
      <c r="A42" s="38"/>
      <c r="B42" s="38"/>
      <c r="C42" s="38"/>
      <c r="D42" s="38"/>
      <c r="E42" s="32"/>
      <c r="F42" s="32"/>
      <c r="G42" s="32"/>
      <c r="H42" s="32"/>
      <c r="I42" s="32"/>
      <c r="J42" s="32"/>
    </row>
    <row r="43" customFormat="false" ht="15" hidden="false" customHeight="false" outlineLevel="0" collapsed="false">
      <c r="A43" s="38"/>
      <c r="B43" s="38"/>
      <c r="C43" s="38"/>
      <c r="D43" s="38"/>
      <c r="E43" s="32"/>
      <c r="F43" s="32"/>
      <c r="G43" s="32"/>
      <c r="H43" s="32"/>
      <c r="I43" s="32"/>
      <c r="J43" s="32"/>
    </row>
    <row r="44" customFormat="false" ht="15" hidden="false" customHeight="false" outlineLevel="0" collapsed="false">
      <c r="A44" s="38"/>
      <c r="B44" s="38"/>
      <c r="C44" s="38"/>
      <c r="D44" s="38"/>
      <c r="E44" s="32"/>
      <c r="F44" s="32"/>
      <c r="G44" s="32"/>
      <c r="H44" s="32"/>
      <c r="I44" s="32"/>
      <c r="J44" s="32"/>
    </row>
    <row r="45" customFormat="false" ht="15" hidden="false" customHeight="false" outlineLevel="0" collapsed="false">
      <c r="A45" s="38"/>
      <c r="B45" s="38"/>
      <c r="C45" s="38"/>
      <c r="D45" s="38"/>
      <c r="E45" s="32"/>
      <c r="F45" s="32"/>
      <c r="G45" s="32"/>
      <c r="H45" s="32"/>
      <c r="I45" s="32"/>
      <c r="J45" s="32"/>
    </row>
    <row r="46" customFormat="false" ht="15" hidden="false" customHeight="false" outlineLevel="0" collapsed="false">
      <c r="A46" s="38"/>
      <c r="B46" s="38"/>
      <c r="C46" s="38"/>
      <c r="D46" s="38"/>
      <c r="E46" s="32"/>
      <c r="F46" s="32"/>
      <c r="G46" s="32"/>
      <c r="H46" s="32"/>
      <c r="I46" s="32"/>
      <c r="J46" s="32"/>
    </row>
    <row r="47" customFormat="false" ht="15" hidden="false" customHeight="false" outlineLevel="0" collapsed="false">
      <c r="A47" s="38"/>
      <c r="B47" s="38"/>
      <c r="C47" s="38"/>
      <c r="D47" s="38"/>
      <c r="E47" s="32"/>
      <c r="F47" s="32"/>
      <c r="G47" s="32"/>
      <c r="H47" s="32"/>
      <c r="I47" s="32"/>
      <c r="J47" s="32"/>
    </row>
    <row r="48" customFormat="false" ht="15" hidden="false" customHeight="false" outlineLevel="0" collapsed="false">
      <c r="A48" s="38"/>
      <c r="B48" s="38"/>
      <c r="C48" s="38"/>
      <c r="D48" s="38"/>
      <c r="E48" s="32"/>
      <c r="F48" s="32"/>
      <c r="G48" s="32"/>
      <c r="H48" s="32"/>
      <c r="I48" s="32"/>
      <c r="J48" s="32"/>
    </row>
    <row r="49" customFormat="false" ht="15" hidden="false" customHeight="false" outlineLevel="0" collapsed="false">
      <c r="A49" s="38"/>
      <c r="B49" s="38"/>
      <c r="C49" s="38"/>
      <c r="D49" s="38"/>
      <c r="E49" s="32"/>
      <c r="F49" s="32"/>
      <c r="G49" s="32"/>
      <c r="H49" s="32"/>
      <c r="I49" s="32"/>
      <c r="J49" s="32"/>
    </row>
    <row r="50" customFormat="false" ht="15" hidden="false" customHeight="false" outlineLevel="0" collapsed="false">
      <c r="A50" s="38"/>
      <c r="B50" s="38"/>
      <c r="C50" s="38"/>
      <c r="D50" s="38"/>
      <c r="E50" s="32"/>
      <c r="F50" s="32"/>
      <c r="G50" s="32"/>
      <c r="H50" s="32"/>
      <c r="I50" s="32"/>
      <c r="J50" s="32"/>
    </row>
    <row r="51" customFormat="false" ht="15" hidden="false" customHeight="false" outlineLevel="0" collapsed="false">
      <c r="A51" s="38"/>
      <c r="B51" s="38"/>
      <c r="C51" s="38"/>
      <c r="D51" s="38"/>
      <c r="E51" s="32"/>
      <c r="F51" s="32"/>
      <c r="G51" s="32"/>
      <c r="H51" s="32"/>
      <c r="I51" s="32"/>
      <c r="J51" s="32"/>
    </row>
    <row r="52" customFormat="false" ht="15" hidden="false" customHeight="false" outlineLevel="0" collapsed="false">
      <c r="A52" s="38"/>
      <c r="B52" s="38"/>
      <c r="C52" s="38"/>
      <c r="D52" s="38"/>
      <c r="E52" s="32"/>
      <c r="F52" s="32"/>
      <c r="G52" s="32"/>
      <c r="H52" s="32"/>
      <c r="I52" s="32"/>
      <c r="J52" s="32"/>
    </row>
    <row r="53" customFormat="false" ht="15" hidden="false" customHeight="false" outlineLevel="0" collapsed="false">
      <c r="A53" s="38"/>
      <c r="B53" s="38"/>
      <c r="C53" s="38"/>
      <c r="D53" s="38"/>
      <c r="E53" s="32"/>
      <c r="F53" s="32"/>
      <c r="G53" s="32"/>
      <c r="H53" s="32"/>
      <c r="I53" s="32"/>
      <c r="J53" s="32"/>
    </row>
    <row r="54" customFormat="false" ht="15" hidden="false" customHeight="false" outlineLevel="0" collapsed="false">
      <c r="A54" s="38"/>
      <c r="B54" s="38"/>
      <c r="C54" s="38"/>
      <c r="D54" s="38"/>
      <c r="E54" s="32"/>
      <c r="F54" s="32"/>
      <c r="G54" s="32"/>
      <c r="H54" s="32"/>
      <c r="I54" s="32"/>
      <c r="J54" s="32"/>
    </row>
    <row r="55" customFormat="false" ht="15" hidden="false" customHeight="false" outlineLevel="0" collapsed="false">
      <c r="A55" s="38"/>
      <c r="B55" s="38"/>
      <c r="C55" s="38"/>
      <c r="D55" s="38"/>
      <c r="E55" s="32"/>
      <c r="F55" s="32"/>
      <c r="G55" s="32"/>
      <c r="H55" s="32"/>
      <c r="I55" s="32"/>
      <c r="J55" s="32"/>
    </row>
    <row r="56" customFormat="false" ht="15" hidden="false" customHeight="false" outlineLevel="0" collapsed="false">
      <c r="A56" s="38"/>
      <c r="B56" s="38"/>
      <c r="C56" s="38"/>
      <c r="D56" s="38"/>
      <c r="E56" s="32"/>
      <c r="F56" s="32"/>
      <c r="G56" s="32"/>
      <c r="H56" s="32"/>
      <c r="I56" s="32"/>
      <c r="J56" s="32"/>
    </row>
    <row r="57" customFormat="false" ht="15" hidden="false" customHeight="false" outlineLevel="0" collapsed="false">
      <c r="A57" s="38"/>
      <c r="B57" s="38"/>
      <c r="C57" s="38"/>
      <c r="D57" s="38"/>
      <c r="E57" s="32"/>
      <c r="F57" s="32"/>
      <c r="G57" s="32"/>
      <c r="H57" s="32"/>
      <c r="I57" s="32"/>
      <c r="J57" s="32"/>
    </row>
    <row r="58" customFormat="false" ht="15" hidden="false" customHeight="false" outlineLevel="0" collapsed="false">
      <c r="A58" s="38"/>
      <c r="B58" s="38"/>
      <c r="C58" s="38"/>
      <c r="D58" s="38"/>
      <c r="E58" s="32"/>
      <c r="F58" s="32"/>
      <c r="G58" s="32"/>
      <c r="H58" s="32"/>
      <c r="I58" s="32"/>
      <c r="J58" s="32"/>
    </row>
    <row r="59" customFormat="false" ht="15" hidden="false" customHeight="false" outlineLevel="0" collapsed="false">
      <c r="A59" s="38"/>
      <c r="B59" s="38"/>
      <c r="C59" s="38"/>
      <c r="D59" s="38"/>
      <c r="E59" s="32"/>
      <c r="F59" s="32"/>
      <c r="G59" s="32"/>
      <c r="H59" s="32"/>
      <c r="I59" s="32"/>
      <c r="J59" s="32"/>
    </row>
    <row r="60" customFormat="false" ht="15" hidden="false" customHeight="false" outlineLevel="0" collapsed="false">
      <c r="A60" s="38"/>
      <c r="B60" s="38"/>
      <c r="C60" s="38"/>
      <c r="D60" s="38"/>
      <c r="E60" s="32"/>
      <c r="F60" s="32"/>
      <c r="G60" s="32"/>
      <c r="H60" s="32"/>
      <c r="I60" s="32"/>
      <c r="J60" s="32"/>
    </row>
    <row r="61" customFormat="false" ht="15" hidden="false" customHeight="false" outlineLevel="0" collapsed="false">
      <c r="A61" s="38"/>
      <c r="B61" s="38"/>
      <c r="C61" s="38"/>
      <c r="D61" s="38"/>
      <c r="E61" s="32"/>
      <c r="F61" s="32"/>
      <c r="G61" s="32"/>
      <c r="H61" s="32"/>
      <c r="I61" s="32"/>
      <c r="J61" s="32"/>
    </row>
    <row r="62" customFormat="false" ht="15" hidden="false" customHeight="false" outlineLevel="0" collapsed="false">
      <c r="A62" s="38"/>
      <c r="B62" s="38"/>
      <c r="C62" s="38"/>
      <c r="D62" s="38"/>
      <c r="E62" s="32"/>
      <c r="F62" s="32"/>
      <c r="G62" s="32"/>
      <c r="H62" s="32"/>
      <c r="I62" s="32"/>
      <c r="J62" s="32"/>
    </row>
    <row r="63" customFormat="false" ht="15" hidden="false" customHeight="false" outlineLevel="0" collapsed="false">
      <c r="A63" s="38"/>
      <c r="B63" s="38"/>
      <c r="C63" s="38"/>
      <c r="D63" s="38"/>
      <c r="E63" s="32"/>
      <c r="F63" s="32"/>
      <c r="G63" s="32"/>
      <c r="H63" s="32"/>
      <c r="I63" s="32"/>
      <c r="J63" s="32"/>
    </row>
    <row r="64" customFormat="false" ht="15" hidden="false" customHeight="false" outlineLevel="0" collapsed="false">
      <c r="A64" s="38"/>
      <c r="B64" s="38"/>
      <c r="C64" s="38"/>
      <c r="D64" s="38"/>
      <c r="E64" s="32"/>
      <c r="F64" s="32"/>
      <c r="G64" s="32"/>
      <c r="H64" s="32"/>
      <c r="I64" s="32"/>
      <c r="J64" s="32"/>
    </row>
    <row r="65" customFormat="false" ht="15" hidden="false" customHeight="false" outlineLevel="0" collapsed="false">
      <c r="A65" s="38"/>
      <c r="B65" s="38"/>
      <c r="C65" s="38"/>
      <c r="D65" s="38"/>
      <c r="E65" s="32"/>
      <c r="F65" s="32"/>
      <c r="G65" s="32"/>
      <c r="H65" s="32"/>
      <c r="I65" s="32"/>
      <c r="J65" s="32"/>
    </row>
    <row r="66" customFormat="false" ht="15" hidden="false" customHeight="false" outlineLevel="0" collapsed="false">
      <c r="A66" s="38"/>
      <c r="B66" s="38"/>
      <c r="C66" s="38"/>
      <c r="D66" s="38"/>
      <c r="E66" s="32"/>
      <c r="F66" s="32"/>
      <c r="G66" s="32"/>
      <c r="H66" s="32"/>
      <c r="I66" s="32"/>
      <c r="J66" s="32"/>
    </row>
    <row r="67" customFormat="false" ht="15" hidden="false" customHeight="false" outlineLevel="0" collapsed="false">
      <c r="A67" s="38"/>
      <c r="B67" s="38"/>
      <c r="C67" s="38"/>
      <c r="D67" s="38"/>
      <c r="E67" s="32"/>
      <c r="F67" s="32"/>
      <c r="G67" s="32"/>
      <c r="H67" s="32"/>
      <c r="I67" s="32"/>
      <c r="J67" s="32"/>
    </row>
    <row r="68" customFormat="false" ht="15" hidden="false" customHeight="false" outlineLevel="0" collapsed="false">
      <c r="A68" s="38"/>
      <c r="B68" s="38"/>
      <c r="C68" s="38"/>
      <c r="D68" s="38"/>
      <c r="E68" s="32"/>
      <c r="F68" s="32"/>
      <c r="G68" s="32"/>
      <c r="H68" s="32"/>
      <c r="I68" s="32"/>
      <c r="J68" s="32"/>
    </row>
    <row r="69" customFormat="false" ht="15" hidden="false" customHeight="false" outlineLevel="0" collapsed="false">
      <c r="A69" s="38"/>
      <c r="B69" s="38"/>
      <c r="C69" s="38"/>
      <c r="D69" s="38"/>
      <c r="E69" s="32"/>
      <c r="F69" s="32"/>
      <c r="G69" s="32"/>
      <c r="H69" s="32"/>
      <c r="I69" s="32"/>
      <c r="J69" s="32"/>
    </row>
    <row r="70" customFormat="false" ht="15" hidden="false" customHeight="false" outlineLevel="0" collapsed="false">
      <c r="A70" s="38"/>
      <c r="B70" s="38"/>
      <c r="C70" s="38"/>
      <c r="D70" s="38"/>
      <c r="E70" s="32"/>
      <c r="F70" s="32"/>
      <c r="G70" s="32"/>
      <c r="H70" s="32"/>
      <c r="I70" s="32"/>
      <c r="J70" s="32"/>
    </row>
    <row r="71" customFormat="false" ht="15" hidden="false" customHeight="false" outlineLevel="0" collapsed="false">
      <c r="A71" s="38"/>
      <c r="B71" s="38"/>
      <c r="C71" s="38"/>
      <c r="D71" s="38"/>
      <c r="E71" s="32"/>
      <c r="F71" s="32"/>
      <c r="G71" s="32"/>
      <c r="H71" s="32"/>
      <c r="I71" s="32"/>
      <c r="J71" s="32"/>
    </row>
    <row r="72" customFormat="false" ht="15" hidden="false" customHeight="false" outlineLevel="0" collapsed="false">
      <c r="A72" s="38"/>
      <c r="B72" s="38"/>
      <c r="C72" s="38"/>
      <c r="D72" s="38"/>
      <c r="E72" s="32"/>
      <c r="F72" s="32"/>
      <c r="G72" s="32"/>
      <c r="H72" s="32"/>
      <c r="I72" s="32"/>
      <c r="J72" s="32"/>
    </row>
    <row r="73" customFormat="false" ht="15" hidden="false" customHeight="false" outlineLevel="0" collapsed="false">
      <c r="A73" s="38"/>
      <c r="B73" s="38"/>
      <c r="C73" s="38"/>
      <c r="D73" s="38"/>
      <c r="E73" s="32"/>
      <c r="F73" s="32"/>
      <c r="G73" s="32"/>
      <c r="H73" s="32"/>
      <c r="I73" s="32"/>
      <c r="J73" s="32"/>
    </row>
    <row r="74" customFormat="false" ht="15" hidden="false" customHeight="false" outlineLevel="0" collapsed="false">
      <c r="A74" s="38"/>
      <c r="B74" s="38"/>
      <c r="C74" s="38"/>
      <c r="D74" s="38"/>
      <c r="E74" s="32"/>
      <c r="F74" s="32"/>
      <c r="G74" s="32"/>
      <c r="H74" s="32"/>
      <c r="I74" s="32"/>
      <c r="J74" s="32"/>
    </row>
    <row r="75" customFormat="false" ht="15" hidden="false" customHeight="false" outlineLevel="0" collapsed="false">
      <c r="A75" s="38"/>
      <c r="B75" s="38"/>
      <c r="C75" s="38"/>
      <c r="D75" s="38"/>
      <c r="E75" s="32"/>
      <c r="F75" s="32"/>
      <c r="G75" s="32"/>
      <c r="H75" s="32"/>
      <c r="I75" s="32"/>
      <c r="J75" s="32"/>
    </row>
    <row r="76" customFormat="false" ht="15" hidden="false" customHeight="false" outlineLevel="0" collapsed="false">
      <c r="A76" s="38"/>
      <c r="B76" s="38"/>
      <c r="C76" s="38"/>
      <c r="D76" s="38"/>
      <c r="E76" s="32"/>
      <c r="F76" s="32"/>
      <c r="G76" s="32"/>
      <c r="H76" s="32"/>
      <c r="I76" s="32"/>
      <c r="J76" s="32"/>
    </row>
    <row r="77" customFormat="false" ht="15" hidden="false" customHeight="false" outlineLevel="0" collapsed="false">
      <c r="A77" s="38"/>
      <c r="B77" s="38"/>
      <c r="C77" s="38"/>
      <c r="D77" s="38"/>
      <c r="E77" s="32"/>
      <c r="F77" s="32"/>
      <c r="G77" s="32"/>
      <c r="H77" s="32"/>
      <c r="I77" s="32"/>
      <c r="J77" s="32"/>
    </row>
    <row r="78" customFormat="false" ht="15" hidden="false" customHeight="false" outlineLevel="0" collapsed="false">
      <c r="A78" s="38"/>
      <c r="B78" s="38"/>
      <c r="C78" s="38"/>
      <c r="D78" s="38"/>
      <c r="E78" s="32"/>
      <c r="F78" s="32"/>
      <c r="G78" s="32"/>
      <c r="H78" s="32"/>
      <c r="I78" s="32"/>
      <c r="J78" s="32"/>
    </row>
    <row r="80" customFormat="false" ht="15" hidden="false" customHeight="true" outlineLevel="0" collapsed="false">
      <c r="A80" s="39" t="s">
        <v>328</v>
      </c>
      <c r="B80" s="39"/>
      <c r="C80" s="39"/>
      <c r="D80" s="39"/>
      <c r="E80" s="39"/>
      <c r="F80" s="39"/>
      <c r="G80" s="39"/>
      <c r="H80" s="39"/>
      <c r="I80" s="39"/>
      <c r="J80" s="39"/>
    </row>
    <row r="81" customFormat="false" ht="15" hidden="false" customHeight="false" outlineLevel="0" collapsed="false">
      <c r="A81" s="39"/>
      <c r="B81" s="39"/>
      <c r="C81" s="39"/>
      <c r="D81" s="39"/>
      <c r="E81" s="39"/>
      <c r="F81" s="39"/>
      <c r="G81" s="39"/>
      <c r="H81" s="39"/>
      <c r="I81" s="39"/>
      <c r="J81" s="39"/>
    </row>
    <row r="82" customFormat="false" ht="15" hidden="false" customHeight="false" outlineLevel="0" collapsed="false">
      <c r="A82" s="39"/>
      <c r="B82" s="39"/>
      <c r="C82" s="39"/>
      <c r="D82" s="39"/>
      <c r="E82" s="39"/>
      <c r="F82" s="39"/>
      <c r="G82" s="39"/>
      <c r="H82" s="39"/>
      <c r="I82" s="39"/>
      <c r="J82" s="39"/>
    </row>
    <row r="83" customFormat="false" ht="15" hidden="false" customHeight="false" outlineLevel="0" collapsed="false">
      <c r="A83" s="39"/>
      <c r="B83" s="39"/>
      <c r="C83" s="39"/>
      <c r="D83" s="39"/>
      <c r="E83" s="39"/>
      <c r="F83" s="39"/>
      <c r="G83" s="39"/>
      <c r="H83" s="39"/>
      <c r="I83" s="39"/>
      <c r="J83" s="39"/>
    </row>
    <row r="84" customFormat="false" ht="15" hidden="false" customHeight="false" outlineLevel="0" collapsed="false">
      <c r="A84" s="39"/>
      <c r="B84" s="39"/>
      <c r="C84" s="39"/>
      <c r="D84" s="39"/>
      <c r="E84" s="39"/>
      <c r="F84" s="39"/>
      <c r="G84" s="39"/>
      <c r="H84" s="39"/>
      <c r="I84" s="39"/>
      <c r="J84" s="39"/>
    </row>
  </sheetData>
  <mergeCells count="1">
    <mergeCell ref="A80:J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74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329</v>
      </c>
    </row>
    <row r="3" customFormat="false" ht="30" hidden="false" customHeight="true" outlineLevel="0" collapsed="false">
      <c r="A3" s="10" t="s">
        <v>330</v>
      </c>
      <c r="B3" s="10" t="s">
        <v>331</v>
      </c>
      <c r="C3" s="10" t="s">
        <v>332</v>
      </c>
      <c r="D3" s="10" t="s">
        <v>333</v>
      </c>
    </row>
    <row r="4" customFormat="false" ht="42" hidden="false" customHeight="true" outlineLevel="0" collapsed="false">
      <c r="A4" s="40" t="s">
        <v>334</v>
      </c>
      <c r="B4" s="11" t="s">
        <v>335</v>
      </c>
      <c r="C4" s="41" t="s">
        <v>336</v>
      </c>
      <c r="D4" s="41" t="s">
        <v>337</v>
      </c>
    </row>
    <row r="5" customFormat="false" ht="42" hidden="false" customHeight="true" outlineLevel="0" collapsed="false">
      <c r="A5" s="40" t="s">
        <v>338</v>
      </c>
      <c r="B5" s="11" t="s">
        <v>339</v>
      </c>
      <c r="C5" s="41" t="s">
        <v>340</v>
      </c>
      <c r="D5" s="41" t="s">
        <v>341</v>
      </c>
    </row>
    <row r="6" customFormat="false" ht="42" hidden="false" customHeight="true" outlineLevel="0" collapsed="false">
      <c r="A6" s="40" t="s">
        <v>342</v>
      </c>
      <c r="B6" s="11" t="s">
        <v>143</v>
      </c>
      <c r="C6" s="41" t="s">
        <v>343</v>
      </c>
      <c r="D6" s="41" t="s">
        <v>344</v>
      </c>
    </row>
    <row r="7" customFormat="false" ht="42" hidden="false" customHeight="true" outlineLevel="0" collapsed="false">
      <c r="A7" s="40" t="s">
        <v>345</v>
      </c>
      <c r="B7" s="11" t="s">
        <v>346</v>
      </c>
      <c r="C7" s="41" t="s">
        <v>347</v>
      </c>
      <c r="D7" s="41" t="s">
        <v>348</v>
      </c>
    </row>
    <row r="8" customFormat="false" ht="42" hidden="false" customHeight="true" outlineLevel="0" collapsed="false">
      <c r="A8" s="40" t="s">
        <v>349</v>
      </c>
      <c r="B8" s="11" t="s">
        <v>350</v>
      </c>
      <c r="C8" s="41" t="s">
        <v>351</v>
      </c>
      <c r="D8" s="41" t="s">
        <v>352</v>
      </c>
    </row>
    <row r="9" customFormat="false" ht="42" hidden="false" customHeight="true" outlineLevel="0" collapsed="false">
      <c r="A9" s="40" t="s">
        <v>353</v>
      </c>
      <c r="B9" s="11" t="s">
        <v>120</v>
      </c>
      <c r="C9" s="41" t="s">
        <v>354</v>
      </c>
      <c r="D9" s="41" t="s">
        <v>355</v>
      </c>
    </row>
    <row r="10" customFormat="false" ht="42" hidden="false" customHeight="true" outlineLevel="0" collapsed="false">
      <c r="A10" s="40" t="s">
        <v>356</v>
      </c>
      <c r="B10" s="11" t="s">
        <v>357</v>
      </c>
      <c r="C10" s="41" t="s">
        <v>358</v>
      </c>
      <c r="D10" s="41" t="s">
        <v>359</v>
      </c>
    </row>
    <row r="11" customFormat="false" ht="42" hidden="false" customHeight="true" outlineLevel="0" collapsed="false">
      <c r="A11" s="40" t="s">
        <v>360</v>
      </c>
      <c r="B11" s="11" t="s">
        <v>361</v>
      </c>
      <c r="C11" s="41" t="s">
        <v>362</v>
      </c>
      <c r="D11" s="41" t="s">
        <v>363</v>
      </c>
    </row>
    <row r="12" customFormat="false" ht="42" hidden="false" customHeight="true" outlineLevel="0" collapsed="false">
      <c r="A12" s="40" t="s">
        <v>364</v>
      </c>
      <c r="B12" s="11" t="s">
        <v>94</v>
      </c>
      <c r="C12" s="41" t="s">
        <v>365</v>
      </c>
      <c r="D12" s="41" t="s">
        <v>366</v>
      </c>
    </row>
    <row r="13" customFormat="false" ht="42" hidden="false" customHeight="true" outlineLevel="0" collapsed="false">
      <c r="A13" s="40" t="s">
        <v>367</v>
      </c>
      <c r="B13" s="11" t="s">
        <v>151</v>
      </c>
      <c r="C13" s="41" t="s">
        <v>368</v>
      </c>
      <c r="D13" s="41" t="s">
        <v>369</v>
      </c>
    </row>
    <row r="14" customFormat="false" ht="42" hidden="false" customHeight="true" outlineLevel="0" collapsed="false">
      <c r="A14" s="40" t="s">
        <v>370</v>
      </c>
      <c r="B14" s="11" t="s">
        <v>371</v>
      </c>
      <c r="C14" s="41" t="s">
        <v>372</v>
      </c>
      <c r="D14" s="41" t="s">
        <v>373</v>
      </c>
    </row>
    <row r="15" customFormat="false" ht="42" hidden="false" customHeight="true" outlineLevel="0" collapsed="false">
      <c r="A15" s="40" t="s">
        <v>374</v>
      </c>
      <c r="B15" s="11" t="s">
        <v>375</v>
      </c>
      <c r="C15" s="41" t="s">
        <v>376</v>
      </c>
      <c r="D15" s="41" t="s">
        <v>373</v>
      </c>
    </row>
    <row r="16" customFormat="false" ht="42" hidden="false" customHeight="true" outlineLevel="0" collapsed="false">
      <c r="A16" s="40" t="s">
        <v>377</v>
      </c>
      <c r="B16" s="11" t="s">
        <v>378</v>
      </c>
      <c r="C16" s="41" t="s">
        <v>379</v>
      </c>
      <c r="D16" s="41" t="s">
        <v>380</v>
      </c>
    </row>
    <row r="17" customFormat="false" ht="42" hidden="false" customHeight="true" outlineLevel="0" collapsed="false">
      <c r="A17" s="40" t="s">
        <v>381</v>
      </c>
      <c r="B17" s="11" t="s">
        <v>382</v>
      </c>
      <c r="C17" s="41" t="s">
        <v>383</v>
      </c>
      <c r="D17" s="41" t="s">
        <v>384</v>
      </c>
    </row>
    <row r="18" customFormat="false" ht="42" hidden="false" customHeight="true" outlineLevel="0" collapsed="false">
      <c r="A18" s="40" t="s">
        <v>385</v>
      </c>
      <c r="B18" s="11" t="s">
        <v>386</v>
      </c>
      <c r="C18" s="41" t="s">
        <v>387</v>
      </c>
      <c r="D18" s="41" t="s">
        <v>388</v>
      </c>
    </row>
    <row r="19" customFormat="false" ht="42" hidden="false" customHeight="true" outlineLevel="0" collapsed="false">
      <c r="A19" s="40" t="s">
        <v>389</v>
      </c>
      <c r="B19" s="11" t="s">
        <v>390</v>
      </c>
      <c r="C19" s="41" t="s">
        <v>391</v>
      </c>
      <c r="D19" s="41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2026-07-23T07:42:59Z</dcterms:created>
  <dc:creator>openpyxl</dc:creator>
  <dc:description/>
  <dc:language>en-US</dc:language>
  <cp:lastModifiedBy/>
  <dcterms:modified xsi:type="dcterms:W3CDTF">2026-07-23T07:42:59Z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